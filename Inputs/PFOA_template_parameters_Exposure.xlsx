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.sharepoint.com/sites/ORD/pkwg/Shared Documents/PFAS/PFAS inhalation/pfas_inhalation_pbpk/Inputs/"/>
    </mc:Choice>
  </mc:AlternateContent>
  <xr:revisionPtr revIDLastSave="490" documentId="14_{BC2287C1-70F4-4BAE-BA85-F3EC3C708A08}" xr6:coauthVersionLast="47" xr6:coauthVersionMax="47" xr10:uidLastSave="{8B3F575F-5703-42D0-9906-E8C46804019B}"/>
  <bookViews>
    <workbookView xWindow="2265" yWindow="345" windowWidth="21600" windowHeight="11100" tabRatio="668" activeTab="2" xr2:uid="{089E7848-11EB-427A-89EA-83825F220BA0}"/>
  </bookViews>
  <sheets>
    <sheet name="MKudo1BW" sheetId="40" r:id="rId1"/>
    <sheet name="MKudo2BW" sheetId="41" r:id="rId2"/>
    <sheet name="MKemperOral25BW" sheetId="11" r:id="rId3"/>
    <sheet name="MKemperOral1BW" sheetId="39" r:id="rId4"/>
    <sheet name="MKemperOral5BW" sheetId="38" r:id="rId5"/>
    <sheet name="inhal_oral_6hr_1" sheetId="19" r:id="rId6"/>
    <sheet name="inhal_oral_6hr_10" sheetId="20" r:id="rId7"/>
    <sheet name="inhal_oral_6hr_25" sheetId="18" r:id="rId8"/>
    <sheet name="inhal_6hr_1_repeat" sheetId="32" r:id="rId9"/>
    <sheet name="inhal_6hr_10_repeat" sheetId="33" r:id="rId10"/>
    <sheet name="inhal_6hr_25_repeat" sheetId="3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40" l="1"/>
  <c r="E16" i="40"/>
  <c r="E22" i="19" l="1"/>
  <c r="E22" i="20"/>
  <c r="E22" i="18"/>
  <c r="E22" i="32"/>
  <c r="E22" i="33"/>
  <c r="D18" i="19"/>
  <c r="D19" i="19" s="1"/>
  <c r="D18" i="20"/>
  <c r="D19" i="20" s="1"/>
  <c r="D18" i="18"/>
  <c r="D19" i="18" s="1"/>
  <c r="D18" i="32"/>
  <c r="D19" i="32" s="1"/>
  <c r="D19" i="33"/>
  <c r="D18" i="33"/>
  <c r="F21" i="33"/>
  <c r="F22" i="33"/>
  <c r="E22" i="31"/>
  <c r="G29" i="19" l="1"/>
  <c r="F22" i="11"/>
  <c r="E16" i="31"/>
  <c r="D18" i="31"/>
  <c r="D19" i="31" s="1"/>
  <c r="E26" i="31" s="1"/>
  <c r="E26" i="18"/>
  <c r="E26" i="20"/>
  <c r="E26" i="19"/>
  <c r="H30" i="20"/>
  <c r="F22" i="19"/>
  <c r="F27" i="19"/>
  <c r="F22" i="20"/>
  <c r="F27" i="20"/>
  <c r="F27" i="18"/>
  <c r="F22" i="18"/>
  <c r="I22" i="18"/>
  <c r="I22" i="20"/>
  <c r="I22" i="19"/>
  <c r="L25" i="31"/>
  <c r="G24" i="31"/>
  <c r="L24" i="31" s="1"/>
  <c r="F21" i="31"/>
  <c r="J22" i="32"/>
  <c r="F21" i="32"/>
  <c r="F21" i="18"/>
  <c r="F21" i="19"/>
  <c r="F21" i="20"/>
  <c r="F26" i="19"/>
  <c r="F26" i="20"/>
  <c r="F22" i="32"/>
  <c r="F27" i="33"/>
  <c r="F27" i="31"/>
  <c r="F22" i="31"/>
  <c r="E26" i="33" l="1"/>
  <c r="E26" i="32"/>
  <c r="F26" i="31" l="1"/>
  <c r="F26" i="33"/>
  <c r="F27" i="32"/>
  <c r="F26" i="32"/>
  <c r="F26" i="18"/>
  <c r="E21" i="39" l="1"/>
  <c r="E21" i="38"/>
  <c r="E16" i="33" l="1"/>
  <c r="E16" i="32"/>
  <c r="E16" i="20"/>
  <c r="E16" i="19"/>
  <c r="E16" i="18"/>
  <c r="E21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tc={CCAE776B-B9E0-46F4-A08A-9C2DA85B5EA2}</author>
  </authors>
  <commentList>
    <comment ref="D19" authorId="0" shapeId="0" xr:uid="{CCAE776B-B9E0-46F4-A08A-9C2DA85B5EA2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R*Temp/1000: This quantity divides the molecular weight to obtain a conversation factor that takes a concentration of chemical from units of ppm to units of mg/m^3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tc={1D287443-7C1C-4E3C-BA2E-73231166FB38}</author>
  </authors>
  <commentList>
    <comment ref="D19" authorId="0" shapeId="0" xr:uid="{1D287443-7C1C-4E3C-BA2E-73231166F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R*Temp/1000: This quantity divides the molecular weight to obtain a conversation factor that takes a concentration of chemical from units of ppm to units of mg/m^3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tc={D412F343-97E5-4ED7-B35B-C1562DBADB8F}</author>
  </authors>
  <commentList>
    <comment ref="D19" authorId="0" shapeId="0" xr:uid="{D412F343-97E5-4ED7-B35B-C1562DBADB8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R*Temp/1000: This quantity divides the molecular weight to obtain a conversation factor that takes a concentration of chemical from units of ppm to units of mg/m^3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tc={1BA043AF-B5C2-47F9-9E42-DBF1799BCFDC}</author>
  </authors>
  <commentList>
    <comment ref="D19" authorId="0" shapeId="0" xr:uid="{1BA043AF-B5C2-47F9-9E42-DBF1799BCFD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R*Temp/1000: This quantity divides the molecular weight to obtain a conversation factor that takes a concentration of chemical from units of ppm to units of mg/m^3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tc={A2592BFF-0DF6-463A-AAA8-17D85ED2D5B3}</author>
  </authors>
  <commentList>
    <comment ref="D19" authorId="0" shapeId="0" xr:uid="{A2592BFF-0DF6-463A-AAA8-17D85ED2D5B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R*Temp/1000: This quantity divides the molecular weight to obtain a conversation factor that takes a concentration of chemical from units of ppm to units of mg/m^3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tc={6214AD13-E40B-4B7B-B3BD-AFB8FFC65A89}</author>
  </authors>
  <commentList>
    <comment ref="D19" authorId="0" shapeId="0" xr:uid="{6214AD13-E40B-4B7B-B3BD-AFB8FFC65A8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R*Temp/1000: This quantity divides the molecular weight to obtain a conversation factor that takes a concentration of chemical from units of ppm to units of mg/m^3</t>
      </text>
    </comment>
  </commentList>
</comments>
</file>

<file path=xl/sharedStrings.xml><?xml version="1.0" encoding="utf-8"?>
<sst xmlns="http://schemas.openxmlformats.org/spreadsheetml/2006/main" count="1488" uniqueCount="138">
  <si>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</si>
  <si>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</si>
  <si>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</si>
  <si>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</si>
  <si>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</si>
  <si>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</si>
  <si>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</si>
  <si>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</si>
  <si>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</si>
  <si>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</si>
  <si>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</si>
  <si>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</si>
  <si>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</si>
  <si>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</si>
  <si>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</si>
  <si>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</si>
  <si>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</si>
  <si>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</si>
  <si>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</si>
  <si>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</si>
  <si>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</si>
  <si>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</si>
  <si>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</si>
  <si>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</si>
  <si>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</si>
  <si>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</si>
  <si>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</si>
  <si>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</si>
  <si>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</si>
  <si>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</si>
  <si>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</si>
  <si>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</si>
  <si>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</si>
  <si>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</si>
  <si>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</si>
  <si>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</si>
  <si>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</si>
  <si>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</si>
  <si>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</si>
  <si>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</si>
  <si>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</si>
  <si>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</si>
  <si>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</si>
  <si>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</si>
  <si>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</si>
  <si>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</si>
  <si>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</si>
  <si>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</si>
  <si>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</si>
  <si>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</si>
  <si>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</si>
  <si>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</si>
  <si>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</si>
  <si>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</si>
  <si>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</si>
  <si>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</si>
  <si>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</si>
  <si>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</si>
  <si>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</si>
  <si>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</si>
  <si>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</si>
  <si>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</si>
  <si>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provide proportions in R script if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</si>
  <si>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</si>
  <si>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</si>
  <si>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</si>
  <si>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</si>
  <si>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</si>
  <si>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</si>
  <si>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</si>
  <si>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</si>
  <si>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</si>
  <si>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</si>
  <si>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</si>
  <si>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</si>
  <si>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</si>
  <si>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</si>
  <si>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</si>
  <si>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</si>
  <si>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PFOA</t>
  </si>
  <si>
    <t>rat</t>
  </si>
  <si>
    <t>male</t>
  </si>
  <si>
    <t>ug</t>
  </si>
  <si>
    <t>L</t>
  </si>
  <si>
    <t>h</t>
  </si>
  <si>
    <t>N</t>
  </si>
  <si>
    <t>Y</t>
  </si>
  <si>
    <t>BW_constant</t>
  </si>
  <si>
    <t>Body weight is constant?</t>
  </si>
  <si>
    <t>For non-constant BW, specify table of body weights vs time in R scripts</t>
  </si>
  <si>
    <t>R</t>
  </si>
  <si>
    <t>Ideal Gas Constant at 1 atm</t>
  </si>
  <si>
    <t>1000 L*ppm/Kelvin/mol</t>
  </si>
  <si>
    <t>Temp</t>
  </si>
  <si>
    <t>Temperature</t>
  </si>
  <si>
    <t>Kelvin</t>
  </si>
  <si>
    <t>default is 25 deg C</t>
  </si>
  <si>
    <t>RTemp</t>
  </si>
  <si>
    <t>Ideal Gas Constant (R) times Temperature (in Kelvin)*</t>
  </si>
  <si>
    <t>1000 L*ppm/mol</t>
  </si>
  <si>
    <t>This should be R*Temp: This quantity divides the molecular weight to obtain a conversation factor that takes a concentration of chemical from units of ppm to units of mg/L.</t>
  </si>
  <si>
    <t>BW</t>
  </si>
  <si>
    <t>Body Mass</t>
  </si>
  <si>
    <t>kg</t>
  </si>
  <si>
    <t>t.first.dose_water</t>
  </si>
  <si>
    <t>h (24 hour clock)</t>
  </si>
  <si>
    <t>t.final.dose_water</t>
  </si>
  <si>
    <t>Drinking Water: Periodic Exposure: Time of final dose each day</t>
  </si>
  <si>
    <t>inh.stop.time</t>
  </si>
  <si>
    <t>If not constant, provide table of values and corresponding times as input to PBPK_run()</t>
  </si>
  <si>
    <t>If unequal, provide vector of proportions as input to PBPK_run()</t>
  </si>
  <si>
    <t>R_oral</t>
  </si>
  <si>
    <t>Oral: Continuous Dose Rate</t>
  </si>
  <si>
    <t>mass/kg BW/day</t>
  </si>
  <si>
    <t>T_oral_rate</t>
  </si>
  <si>
    <t>Oral: Time to apply continuous oral rate</t>
  </si>
  <si>
    <t>The continuous oral dose rate will be applied from the start of the simulation until this time.</t>
  </si>
  <si>
    <t>mg/h</t>
  </si>
  <si>
    <t>Used to compute R_0bgli if not provided directly.</t>
  </si>
  <si>
    <t>mg</t>
  </si>
  <si>
    <t>mg/m3</t>
  </si>
  <si>
    <t>3 weeks</t>
  </si>
  <si>
    <t>&lt;== actual dose from Table 9 of Kemper, 25 mg/kg target</t>
  </si>
  <si>
    <t>&lt;== from Table 9 of Kemper, 25 mg/kg target, male rats</t>
  </si>
  <si>
    <t>m^3*ppm/Kelvin/mol</t>
  </si>
  <si>
    <t>m^3*ppm/mmol</t>
  </si>
  <si>
    <t>Fraction deposited to head + TB</t>
  </si>
  <si>
    <r>
      <rPr>
        <sz val="11"/>
        <color theme="1"/>
        <rFont val="Aptos Narrow"/>
        <family val="2"/>
      </rPr>
      <t>°</t>
    </r>
    <r>
      <rPr>
        <sz val="11"/>
        <color theme="1"/>
        <rFont val="Calibri"/>
        <family val="2"/>
      </rPr>
      <t>C</t>
    </r>
  </si>
  <si>
    <t>&lt;-- inhalation rate (m3/d) = 2.043 mL/breath x 166 breath/min x 1440 min/d / (1e6 mL/m3)</t>
  </si>
  <si>
    <t>&lt;-- QPC corresponding to 70% of total ventillation</t>
  </si>
  <si>
    <t>&lt;-- Head only</t>
  </si>
  <si>
    <t>Pulmonary/total ventilation</t>
  </si>
  <si>
    <t>Fraction of total inhaled deposited in pulmonary region</t>
  </si>
  <si>
    <t>Bolus oral dose?</t>
  </si>
  <si>
    <t>&lt;== total dose (mg)</t>
  </si>
  <si>
    <t>Corresponds to a 61.5 day-old male Sprague-Dawley rat (i.e., almost 9 weeks old) based on the NTP growth curve (NTP_BW_SD.csv). Value was used in MPPD to estimate particle deposition.</t>
  </si>
  <si>
    <t>&lt;== actual dose from Table 9 of Kemper, 1 mg/kg target</t>
  </si>
  <si>
    <t>&lt;== actual dose from Table 9 of Kemper, 5 mg/kg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</si>
</sst>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645AD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0" fillId="3" borderId="0" xfId="0" applyFill="1"/>
    <xf numFmtId="0" fontId="6" fillId="3" borderId="0" xfId="0" applyFont="1" applyFill="1"/>
    <xf numFmtId="0" fontId="0" fillId="4" borderId="0" xfId="0" applyFill="1"/>
    <xf numFmtId="0" fontId="0" fillId="5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hlosser, Paul" id="{929FD5F9-1D0A-4F14-BC66-8B30006D14B3}" userId="S::Schlosser.Paul@epa.gov::975db4d3-086e-4192-8268-e14329a3bb0b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9" dT="2025-04-03T12:42:40.90" personId="{929FD5F9-1D0A-4F14-BC66-8B30006D14B3}" id="{CCAE776B-B9E0-46F4-A08A-9C2DA85B5EA2}">
    <text>This should be R*Temp/1000: This quantity divides the molecular weight to obtain a conversation factor that takes a concentration of chemical from units of ppm to units of mg/m^3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" dT="2025-04-03T12:42:40.90" personId="{929FD5F9-1D0A-4F14-BC66-8B30006D14B3}" id="{1D287443-7C1C-4E3C-BA2E-73231166FB38}">
    <text>This should be R*Temp/1000: This quantity divides the molecular weight to obtain a conversation factor that takes a concentration of chemical from units of ppm to units of mg/m^3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9" dT="2025-04-03T12:42:40.90" personId="{929FD5F9-1D0A-4F14-BC66-8B30006D14B3}" id="{D412F343-97E5-4ED7-B35B-C1562DBADB8F}">
    <text>This should be R*Temp/1000: This quantity divides the molecular weight to obtain a conversation factor that takes a concentration of chemical from units of ppm to units of mg/m^3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9" dT="2025-04-03T12:42:40.90" personId="{929FD5F9-1D0A-4F14-BC66-8B30006D14B3}" id="{1BA043AF-B5C2-47F9-9E42-DBF1799BCFDC}">
    <text>This should be R*Temp/1000: This quantity divides the molecular weight to obtain a conversation factor that takes a concentration of chemical from units of ppm to units of mg/m^3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9" dT="2025-04-03T12:42:40.90" personId="{929FD5F9-1D0A-4F14-BC66-8B30006D14B3}" id="{A2592BFF-0DF6-463A-AAA8-17D85ED2D5B3}">
    <text>This should be R*Temp/1000: This quantity divides the molecular weight to obtain a conversation factor that takes a concentration of chemical from units of ppm to units of mg/m^3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19" dT="2025-04-03T12:42:40.90" personId="{929FD5F9-1D0A-4F14-BC66-8B30006D14B3}" id="{6214AD13-E40B-4B7B-B3BD-AFB8FFC65A89}">
    <text>This should be R*Temp/1000: This quantity divides the molecular weight to obtain a conversation factor that takes a concentration of chemical from units of ppm to units of mg/m^3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B4C24-1AC5-42FA-88F9-A86A51928A45}">
  <dimension ref="A1:F39"/>
  <sheetViews>
    <sheetView topLeftCell="A22" workbookViewId="0">
      <selection activeCell="A29" sqref="A29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86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F16/24</f>
        <v>0.125</v>
      </c>
      <c r="F16">
        <v>3</v>
      </c>
    </row>
    <row r="17" spans="1:6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6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6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6" x14ac:dyDescent="0.25">
      <c r="A20" s="1" t="s">
        <v>101</v>
      </c>
      <c r="B20" t="s">
        <v>102</v>
      </c>
      <c r="C20" t="s">
        <v>103</v>
      </c>
      <c r="D20">
        <v>0</v>
      </c>
      <c r="E20">
        <v>0.28999999999999998</v>
      </c>
    </row>
    <row r="21" spans="1:6" x14ac:dyDescent="0.25">
      <c r="A21" s="1" t="s">
        <v>19</v>
      </c>
      <c r="B21" t="s">
        <v>20</v>
      </c>
      <c r="C21" t="s">
        <v>6</v>
      </c>
      <c r="D21">
        <v>0</v>
      </c>
    </row>
    <row r="22" spans="1:6" x14ac:dyDescent="0.25">
      <c r="A22" s="1" t="s">
        <v>21</v>
      </c>
      <c r="B22" t="s">
        <v>22</v>
      </c>
      <c r="C22" t="s">
        <v>6</v>
      </c>
      <c r="D22">
        <v>0</v>
      </c>
      <c r="E22">
        <f>F22*1000</f>
        <v>41</v>
      </c>
      <c r="F22">
        <v>4.1000000000000002E-2</v>
      </c>
    </row>
    <row r="23" spans="1:6" x14ac:dyDescent="0.25">
      <c r="A23" s="1" t="s">
        <v>53</v>
      </c>
      <c r="B23" t="s">
        <v>54</v>
      </c>
      <c r="C23" t="s">
        <v>24</v>
      </c>
    </row>
    <row r="24" spans="1:6" x14ac:dyDescent="0.25">
      <c r="A24" s="1" t="s">
        <v>7</v>
      </c>
      <c r="B24" t="s">
        <v>8</v>
      </c>
      <c r="C24" t="s">
        <v>9</v>
      </c>
      <c r="D24">
        <v>0</v>
      </c>
    </row>
    <row r="25" spans="1:6" x14ac:dyDescent="0.25">
      <c r="A25" s="1" t="s">
        <v>10</v>
      </c>
      <c r="B25" t="s">
        <v>11</v>
      </c>
      <c r="D25">
        <v>0</v>
      </c>
    </row>
    <row r="26" spans="1:6" x14ac:dyDescent="0.25">
      <c r="A26" s="1" t="s">
        <v>12</v>
      </c>
      <c r="B26" t="s">
        <v>13</v>
      </c>
      <c r="C26" t="s">
        <v>14</v>
      </c>
      <c r="D26">
        <v>0</v>
      </c>
    </row>
    <row r="27" spans="1:6" x14ac:dyDescent="0.25">
      <c r="A27" s="1" t="s">
        <v>15</v>
      </c>
      <c r="B27" t="s">
        <v>16</v>
      </c>
      <c r="C27" t="s">
        <v>17</v>
      </c>
      <c r="D27">
        <v>0</v>
      </c>
    </row>
    <row r="28" spans="1:6" x14ac:dyDescent="0.25">
      <c r="A28" s="1" t="s">
        <v>108</v>
      </c>
      <c r="B28" t="s">
        <v>63</v>
      </c>
      <c r="C28" t="s">
        <v>24</v>
      </c>
    </row>
    <row r="29" spans="1:6" x14ac:dyDescent="0.25">
      <c r="A29" s="1" t="s">
        <v>64</v>
      </c>
      <c r="B29" t="s">
        <v>23</v>
      </c>
      <c r="C29" t="s">
        <v>24</v>
      </c>
    </row>
    <row r="30" spans="1:6" x14ac:dyDescent="0.25">
      <c r="A30" s="1" t="s">
        <v>65</v>
      </c>
      <c r="B30" t="s">
        <v>66</v>
      </c>
      <c r="C30" t="s">
        <v>24</v>
      </c>
    </row>
    <row r="31" spans="1:6" x14ac:dyDescent="0.25">
      <c r="A31" s="1" t="s">
        <v>67</v>
      </c>
      <c r="B31" t="s">
        <v>68</v>
      </c>
    </row>
    <row r="32" spans="1:6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B5A5C-5D56-4870-B8E8-4D78C5A9D4A6}">
  <dimension ref="A1:F39"/>
  <sheetViews>
    <sheetView topLeftCell="A22" workbookViewId="0">
      <selection activeCell="A29" sqref="A29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86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0.10416666666666667</v>
      </c>
    </row>
    <row r="17" spans="1:6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6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6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6" x14ac:dyDescent="0.25">
      <c r="A20" s="1" t="s">
        <v>101</v>
      </c>
      <c r="B20" t="s">
        <v>102</v>
      </c>
      <c r="C20" t="s">
        <v>103</v>
      </c>
      <c r="D20">
        <v>0</v>
      </c>
      <c r="E20">
        <v>0.28999999999999998</v>
      </c>
    </row>
    <row r="21" spans="1:6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</row>
    <row r="22" spans="1:6" x14ac:dyDescent="0.25">
      <c r="A22" s="1" t="s">
        <v>21</v>
      </c>
      <c r="B22" t="s">
        <v>22</v>
      </c>
      <c r="C22" t="s">
        <v>6</v>
      </c>
      <c r="D22">
        <v>0</v>
      </c>
      <c r="E22">
        <v>16560</v>
      </c>
    </row>
    <row r="23" spans="1:6" x14ac:dyDescent="0.25">
      <c r="A23" s="1" t="s">
        <v>53</v>
      </c>
      <c r="B23" t="s">
        <v>54</v>
      </c>
      <c r="C23" t="s">
        <v>24</v>
      </c>
    </row>
    <row r="24" spans="1:6" x14ac:dyDescent="0.25">
      <c r="A24" s="1" t="s">
        <v>7</v>
      </c>
      <c r="B24" t="s">
        <v>8</v>
      </c>
      <c r="C24" t="s">
        <v>9</v>
      </c>
      <c r="D24">
        <v>0</v>
      </c>
    </row>
    <row r="25" spans="1:6" x14ac:dyDescent="0.25">
      <c r="A25" s="1" t="s">
        <v>10</v>
      </c>
      <c r="B25" t="s">
        <v>11</v>
      </c>
      <c r="D25">
        <v>0</v>
      </c>
    </row>
    <row r="26" spans="1:6" x14ac:dyDescent="0.25">
      <c r="A26" s="1" t="s">
        <v>12</v>
      </c>
      <c r="B26" t="s">
        <v>13</v>
      </c>
      <c r="C26" t="s">
        <v>14</v>
      </c>
      <c r="D26">
        <v>0</v>
      </c>
    </row>
    <row r="27" spans="1:6" x14ac:dyDescent="0.25">
      <c r="A27" s="1" t="s">
        <v>15</v>
      </c>
      <c r="B27" t="s">
        <v>16</v>
      </c>
      <c r="C27" t="s">
        <v>17</v>
      </c>
      <c r="D27">
        <v>0</v>
      </c>
    </row>
    <row r="28" spans="1:6" x14ac:dyDescent="0.25">
      <c r="A28" s="1" t="s">
        <v>108</v>
      </c>
      <c r="B28" t="s">
        <v>63</v>
      </c>
      <c r="C28" t="s">
        <v>24</v>
      </c>
    </row>
    <row r="29" spans="1:6" x14ac:dyDescent="0.25">
      <c r="A29" s="1" t="s">
        <v>64</v>
      </c>
      <c r="B29" t="s">
        <v>23</v>
      </c>
      <c r="C29" t="s">
        <v>24</v>
      </c>
    </row>
    <row r="30" spans="1:6" x14ac:dyDescent="0.25">
      <c r="A30" s="1" t="s">
        <v>65</v>
      </c>
      <c r="B30" t="s">
        <v>66</v>
      </c>
      <c r="C30" t="s">
        <v>24</v>
      </c>
    </row>
    <row r="31" spans="1:6" x14ac:dyDescent="0.25">
      <c r="A31" s="1" t="s">
        <v>67</v>
      </c>
      <c r="B31" t="s">
        <v>68</v>
      </c>
    </row>
    <row r="32" spans="1:6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8BF9B-7E2C-485C-82ED-8B9140B516E0}">
  <dimension ref="A1:G39"/>
  <sheetViews>
    <sheetView tabSelected="1" topLeftCell="A7" workbookViewId="0">
      <selection activeCell="F23" sqref="F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0.20979999999999999</v>
      </c>
      <c r="F20" t="s">
        <v>123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26070</v>
      </c>
      <c r="F21">
        <v>26.07</v>
      </c>
      <c r="G21" t="s">
        <v>122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  <c r="F22">
        <f>E20*F21</f>
        <v>5.4694859999999998</v>
      </c>
      <c r="G22" t="s">
        <v>134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709DC-453F-4FDF-BC07-E26D7D725E6B}">
  <dimension ref="A1:G39"/>
  <sheetViews>
    <sheetView topLeftCell="A10" workbookViewId="0">
      <selection activeCell="G21" sqref="G21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  <c r="F16">
        <v>600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0.2334</v>
      </c>
      <c r="F20" t="s">
        <v>123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1150</v>
      </c>
      <c r="F21">
        <v>1.1499999999999999</v>
      </c>
      <c r="G21" t="s">
        <v>136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7732-3851-459F-8542-D34FCE787B60}">
  <dimension ref="A1:G39"/>
  <sheetViews>
    <sheetView topLeftCell="A7" workbookViewId="0">
      <selection activeCell="G21" sqref="G21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  <c r="F16">
        <v>600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0.1976</v>
      </c>
      <c r="F20" t="s">
        <v>123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4720</v>
      </c>
      <c r="F21">
        <v>4.72</v>
      </c>
      <c r="G21" t="s">
        <v>137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65E89-16BD-455C-A068-3F9042142D87}">
  <dimension ref="A1:N41"/>
  <sheetViews>
    <sheetView workbookViewId="0">
      <selection activeCell="F21" sqref="F21:M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119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109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110</v>
      </c>
    </row>
    <row r="11" spans="1:6" x14ac:dyDescent="0.25">
      <c r="A11" s="1" t="s">
        <v>69</v>
      </c>
      <c r="B11" t="s">
        <v>133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86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F16/24</f>
        <v>1.25</v>
      </c>
      <c r="F16" s="2">
        <v>30</v>
      </c>
    </row>
    <row r="17" spans="1:14" x14ac:dyDescent="0.25">
      <c r="A17" s="1" t="s">
        <v>90</v>
      </c>
      <c r="B17" t="s">
        <v>91</v>
      </c>
      <c r="C17" t="s">
        <v>124</v>
      </c>
      <c r="D17">
        <v>82.057366080959994</v>
      </c>
    </row>
    <row r="18" spans="1:14" x14ac:dyDescent="0.25">
      <c r="A18" s="1" t="s">
        <v>93</v>
      </c>
      <c r="B18" t="s">
        <v>94</v>
      </c>
      <c r="C18" t="s">
        <v>95</v>
      </c>
      <c r="D18" s="8">
        <f>273.15+F18</f>
        <v>298.14999999999998</v>
      </c>
      <c r="E18" s="8"/>
      <c r="F18" s="8">
        <v>25</v>
      </c>
      <c r="G18" s="9" t="s">
        <v>127</v>
      </c>
    </row>
    <row r="19" spans="1:14" x14ac:dyDescent="0.25">
      <c r="A19" s="1" t="s">
        <v>97</v>
      </c>
      <c r="B19" t="s">
        <v>98</v>
      </c>
      <c r="C19" t="s">
        <v>125</v>
      </c>
      <c r="D19" s="8">
        <f>D17*D18/1000</f>
        <v>24.465403697038223</v>
      </c>
      <c r="E19" s="8"/>
      <c r="F19" s="8" t="s">
        <v>100</v>
      </c>
      <c r="G19" s="8"/>
      <c r="H19" s="8"/>
      <c r="I19" s="8"/>
      <c r="J19" s="8"/>
      <c r="K19" s="8"/>
      <c r="L19" s="8"/>
      <c r="M19" s="8"/>
      <c r="N19" s="8"/>
    </row>
    <row r="20" spans="1:14" x14ac:dyDescent="0.25">
      <c r="A20" s="1" t="s">
        <v>101</v>
      </c>
      <c r="B20" t="s">
        <v>102</v>
      </c>
      <c r="C20" t="s">
        <v>103</v>
      </c>
      <c r="D20">
        <v>0</v>
      </c>
      <c r="E20" s="10">
        <v>0.28999999999999998</v>
      </c>
      <c r="F20" s="10" t="s">
        <v>135</v>
      </c>
      <c r="G20" s="10"/>
      <c r="H20" s="10"/>
      <c r="I20" s="10"/>
      <c r="J20" s="10"/>
      <c r="K20" s="10"/>
      <c r="L20" s="10"/>
      <c r="M20" s="10"/>
      <c r="N20" s="10"/>
    </row>
    <row r="21" spans="1:14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  <c r="F21" s="11">
        <f>2.043*166*1440/1000000</f>
        <v>0.48835872000000002</v>
      </c>
      <c r="G21" s="11" t="s">
        <v>128</v>
      </c>
      <c r="H21" s="11"/>
      <c r="I21" s="11"/>
      <c r="J21" s="11"/>
      <c r="K21" s="11"/>
      <c r="L21" s="11"/>
      <c r="M21" s="11"/>
    </row>
    <row r="22" spans="1:14" x14ac:dyDescent="0.25">
      <c r="A22" s="1" t="s">
        <v>111</v>
      </c>
      <c r="B22" t="s">
        <v>112</v>
      </c>
      <c r="C22" t="s">
        <v>113</v>
      </c>
      <c r="D22">
        <v>0</v>
      </c>
      <c r="E22" s="11">
        <f>F26*F22*F21/E20</f>
        <v>0.80589292773517252</v>
      </c>
      <c r="F22" s="11">
        <f>0.2651+I22</f>
        <v>0.39880000000000004</v>
      </c>
      <c r="G22" s="11" t="s">
        <v>126</v>
      </c>
      <c r="H22" s="11"/>
      <c r="I22" s="11">
        <f>0.1337</f>
        <v>0.13370000000000001</v>
      </c>
      <c r="J22" s="11"/>
      <c r="K22" s="11"/>
      <c r="L22" s="11"/>
      <c r="M22" s="11"/>
    </row>
    <row r="23" spans="1:14" x14ac:dyDescent="0.25">
      <c r="A23" s="1" t="s">
        <v>114</v>
      </c>
      <c r="B23" t="s">
        <v>115</v>
      </c>
      <c r="C23" t="s">
        <v>24</v>
      </c>
      <c r="E23">
        <v>6</v>
      </c>
      <c r="F23" s="11" t="s">
        <v>116</v>
      </c>
      <c r="G23" s="11"/>
      <c r="H23" s="11"/>
      <c r="I23" s="11"/>
      <c r="J23" s="11"/>
      <c r="K23" s="11"/>
      <c r="L23" s="11"/>
      <c r="M23" s="11"/>
    </row>
    <row r="24" spans="1:14" x14ac:dyDescent="0.25">
      <c r="A24" s="1" t="s">
        <v>21</v>
      </c>
      <c r="B24" t="s">
        <v>22</v>
      </c>
      <c r="C24" t="s">
        <v>6</v>
      </c>
      <c r="D24">
        <v>0</v>
      </c>
    </row>
    <row r="25" spans="1:14" x14ac:dyDescent="0.25">
      <c r="A25" s="1" t="s">
        <v>53</v>
      </c>
      <c r="B25" t="s">
        <v>54</v>
      </c>
      <c r="C25" t="s">
        <v>24</v>
      </c>
    </row>
    <row r="26" spans="1:14" x14ac:dyDescent="0.25">
      <c r="A26" s="1" t="s">
        <v>7</v>
      </c>
      <c r="B26" t="s">
        <v>8</v>
      </c>
      <c r="C26" t="s">
        <v>9</v>
      </c>
      <c r="D26">
        <v>0</v>
      </c>
      <c r="E26">
        <f>F26*D19*F27/(414.07*F28)</f>
        <v>2.4917067753781053E-3</v>
      </c>
      <c r="F26">
        <f>H26+I26</f>
        <v>1.2</v>
      </c>
      <c r="G26" t="s">
        <v>120</v>
      </c>
      <c r="H26">
        <v>1.2</v>
      </c>
      <c r="J26" s="3"/>
    </row>
    <row r="27" spans="1:14" x14ac:dyDescent="0.25">
      <c r="A27" s="1" t="s">
        <v>10</v>
      </c>
      <c r="B27" t="s">
        <v>11</v>
      </c>
      <c r="D27">
        <v>0</v>
      </c>
      <c r="E27">
        <v>1</v>
      </c>
      <c r="F27">
        <f>0.0246</f>
        <v>2.46E-2</v>
      </c>
      <c r="G27" t="s">
        <v>132</v>
      </c>
    </row>
    <row r="28" spans="1:14" x14ac:dyDescent="0.25">
      <c r="A28" s="1" t="s">
        <v>12</v>
      </c>
      <c r="B28" t="s">
        <v>13</v>
      </c>
      <c r="C28" t="s">
        <v>14</v>
      </c>
      <c r="D28">
        <v>0</v>
      </c>
      <c r="F28" s="3">
        <v>0.7</v>
      </c>
      <c r="G28" t="s">
        <v>131</v>
      </c>
    </row>
    <row r="29" spans="1:14" x14ac:dyDescent="0.25">
      <c r="A29" s="1" t="s">
        <v>15</v>
      </c>
      <c r="B29" t="s">
        <v>16</v>
      </c>
      <c r="C29" t="s">
        <v>17</v>
      </c>
      <c r="D29">
        <v>0</v>
      </c>
      <c r="G29">
        <f>F22+F27</f>
        <v>0.42340000000000005</v>
      </c>
    </row>
    <row r="30" spans="1:14" x14ac:dyDescent="0.25">
      <c r="A30" s="1" t="s">
        <v>108</v>
      </c>
      <c r="B30" t="s">
        <v>63</v>
      </c>
      <c r="C30" t="s">
        <v>24</v>
      </c>
      <c r="E30">
        <v>6</v>
      </c>
    </row>
    <row r="31" spans="1:14" x14ac:dyDescent="0.25">
      <c r="A31" s="1" t="s">
        <v>64</v>
      </c>
      <c r="B31" t="s">
        <v>23</v>
      </c>
      <c r="C31" t="s">
        <v>24</v>
      </c>
    </row>
    <row r="32" spans="1:14" x14ac:dyDescent="0.25">
      <c r="A32" s="1" t="s">
        <v>65</v>
      </c>
      <c r="B32" t="s">
        <v>66</v>
      </c>
      <c r="C32" t="s">
        <v>24</v>
      </c>
    </row>
    <row r="33" spans="1:6" x14ac:dyDescent="0.25">
      <c r="A33" s="1" t="s">
        <v>67</v>
      </c>
      <c r="B33" t="s">
        <v>68</v>
      </c>
    </row>
    <row r="34" spans="1:6" x14ac:dyDescent="0.25">
      <c r="A34" s="1" t="s">
        <v>46</v>
      </c>
      <c r="B34" t="s">
        <v>47</v>
      </c>
      <c r="C34" t="s">
        <v>117</v>
      </c>
      <c r="D34">
        <v>0</v>
      </c>
    </row>
    <row r="35" spans="1:6" x14ac:dyDescent="0.25">
      <c r="A35" s="1" t="s">
        <v>48</v>
      </c>
      <c r="B35" t="s">
        <v>49</v>
      </c>
      <c r="C35" t="s">
        <v>50</v>
      </c>
      <c r="F35" t="s">
        <v>118</v>
      </c>
    </row>
    <row r="36" spans="1:6" x14ac:dyDescent="0.25">
      <c r="A36" s="1" t="s">
        <v>55</v>
      </c>
      <c r="B36" t="s">
        <v>56</v>
      </c>
    </row>
    <row r="37" spans="1:6" x14ac:dyDescent="0.25">
      <c r="A37" s="1" t="s">
        <v>104</v>
      </c>
      <c r="B37" t="s">
        <v>57</v>
      </c>
      <c r="C37" t="s">
        <v>105</v>
      </c>
    </row>
    <row r="38" spans="1:6" x14ac:dyDescent="0.25">
      <c r="A38" s="1" t="s">
        <v>106</v>
      </c>
      <c r="B38" t="s">
        <v>107</v>
      </c>
      <c r="C38" t="s">
        <v>105</v>
      </c>
    </row>
    <row r="39" spans="1:6" x14ac:dyDescent="0.25">
      <c r="A39" s="1" t="s">
        <v>58</v>
      </c>
      <c r="B39" t="s">
        <v>59</v>
      </c>
      <c r="C39" t="s">
        <v>6</v>
      </c>
    </row>
    <row r="41" spans="1:6" x14ac:dyDescent="0.25">
      <c r="A41" s="1" t="s">
        <v>0</v>
      </c>
      <c r="B41" s="1" t="s">
        <v>43</v>
      </c>
      <c r="C41" s="1"/>
      <c r="D41" s="1"/>
      <c r="E41" s="1"/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CCF75-3355-4437-9266-DC2BD582624B}">
  <dimension ref="A1:N41"/>
  <sheetViews>
    <sheetView topLeftCell="A10" workbookViewId="0">
      <selection activeCell="F21" sqref="F21:N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119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109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110</v>
      </c>
    </row>
    <row r="11" spans="1:6" x14ac:dyDescent="0.25">
      <c r="A11" s="1" t="s">
        <v>69</v>
      </c>
      <c r="B11" t="s">
        <v>133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86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F16/24</f>
        <v>1.25</v>
      </c>
      <c r="F16" s="2">
        <v>30</v>
      </c>
    </row>
    <row r="17" spans="1:14" x14ac:dyDescent="0.25">
      <c r="A17" s="1" t="s">
        <v>90</v>
      </c>
      <c r="B17" t="s">
        <v>91</v>
      </c>
      <c r="C17" t="s">
        <v>124</v>
      </c>
      <c r="D17">
        <v>82.057366080959994</v>
      </c>
    </row>
    <row r="18" spans="1:14" x14ac:dyDescent="0.25">
      <c r="A18" s="1" t="s">
        <v>93</v>
      </c>
      <c r="B18" t="s">
        <v>94</v>
      </c>
      <c r="C18" t="s">
        <v>95</v>
      </c>
      <c r="D18" s="8">
        <f>273.15+F18</f>
        <v>298.14999999999998</v>
      </c>
      <c r="E18" s="8"/>
      <c r="F18" s="8">
        <v>25</v>
      </c>
      <c r="G18" s="9" t="s">
        <v>127</v>
      </c>
    </row>
    <row r="19" spans="1:14" x14ac:dyDescent="0.25">
      <c r="A19" s="1" t="s">
        <v>97</v>
      </c>
      <c r="B19" t="s">
        <v>98</v>
      </c>
      <c r="C19" t="s">
        <v>125</v>
      </c>
      <c r="D19" s="8">
        <f>D17*D18/1000</f>
        <v>24.465403697038223</v>
      </c>
      <c r="E19" s="8"/>
      <c r="F19" s="8" t="s">
        <v>100</v>
      </c>
      <c r="G19" s="8"/>
      <c r="H19" s="8"/>
      <c r="I19" s="8"/>
      <c r="J19" s="8"/>
      <c r="K19" s="8"/>
      <c r="L19" s="8"/>
      <c r="M19" s="8"/>
      <c r="N19" s="8"/>
    </row>
    <row r="20" spans="1:14" x14ac:dyDescent="0.25">
      <c r="A20" s="1" t="s">
        <v>101</v>
      </c>
      <c r="B20" t="s">
        <v>102</v>
      </c>
      <c r="C20" t="s">
        <v>103</v>
      </c>
      <c r="D20">
        <v>0</v>
      </c>
      <c r="E20" s="10">
        <v>0.28999999999999998</v>
      </c>
      <c r="F20" s="10" t="s">
        <v>135</v>
      </c>
      <c r="G20" s="10"/>
      <c r="H20" s="10"/>
      <c r="I20" s="10"/>
      <c r="J20" s="10"/>
      <c r="K20" s="10"/>
      <c r="L20" s="10"/>
      <c r="M20" s="10"/>
      <c r="N20" s="10"/>
    </row>
    <row r="21" spans="1:14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  <c r="F21" s="11">
        <f>2.043*166*1440/1000000</f>
        <v>0.48835872000000002</v>
      </c>
      <c r="G21" s="11" t="s">
        <v>128</v>
      </c>
      <c r="H21" s="11"/>
      <c r="I21" s="11"/>
      <c r="J21" s="11"/>
      <c r="K21" s="11"/>
      <c r="L21" s="11"/>
      <c r="M21" s="11"/>
      <c r="N21" s="11"/>
    </row>
    <row r="22" spans="1:14" x14ac:dyDescent="0.25">
      <c r="A22" s="1" t="s">
        <v>111</v>
      </c>
      <c r="B22" t="s">
        <v>112</v>
      </c>
      <c r="C22" t="s">
        <v>113</v>
      </c>
      <c r="D22">
        <v>0</v>
      </c>
      <c r="E22" s="11">
        <f>F26*F22*F21/E20</f>
        <v>6.452734287227587</v>
      </c>
      <c r="F22" s="11">
        <f>0.2768+I22</f>
        <v>0.39100000000000001</v>
      </c>
      <c r="G22" s="11" t="s">
        <v>126</v>
      </c>
      <c r="H22" s="11"/>
      <c r="I22" s="11">
        <f>0.1142</f>
        <v>0.1142</v>
      </c>
      <c r="J22" s="11"/>
      <c r="K22" s="11"/>
      <c r="L22" s="11"/>
      <c r="M22" s="11"/>
      <c r="N22" s="11"/>
    </row>
    <row r="23" spans="1:14" x14ac:dyDescent="0.25">
      <c r="A23" s="1" t="s">
        <v>114</v>
      </c>
      <c r="B23" t="s">
        <v>115</v>
      </c>
      <c r="C23" t="s">
        <v>24</v>
      </c>
      <c r="E23">
        <v>6</v>
      </c>
      <c r="F23" s="11" t="s">
        <v>116</v>
      </c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" t="s">
        <v>21</v>
      </c>
      <c r="B24" t="s">
        <v>22</v>
      </c>
      <c r="C24" t="s">
        <v>6</v>
      </c>
      <c r="D24">
        <v>0</v>
      </c>
    </row>
    <row r="25" spans="1:14" x14ac:dyDescent="0.25">
      <c r="A25" s="1" t="s">
        <v>53</v>
      </c>
      <c r="B25" t="s">
        <v>54</v>
      </c>
      <c r="C25" t="s">
        <v>24</v>
      </c>
    </row>
    <row r="26" spans="1:14" x14ac:dyDescent="0.25">
      <c r="A26" s="1" t="s">
        <v>7</v>
      </c>
      <c r="B26" t="s">
        <v>8</v>
      </c>
      <c r="C26" t="s">
        <v>9</v>
      </c>
      <c r="D26">
        <v>0</v>
      </c>
      <c r="E26">
        <f>F26*D19*F27/(414.07*F28)</f>
        <v>2.0514377191324346E-2</v>
      </c>
      <c r="F26">
        <f>H26+I26</f>
        <v>9.8000000000000007</v>
      </c>
      <c r="G26" t="s">
        <v>120</v>
      </c>
      <c r="H26">
        <v>9.8000000000000007</v>
      </c>
    </row>
    <row r="27" spans="1:14" x14ac:dyDescent="0.25">
      <c r="A27" s="1" t="s">
        <v>10</v>
      </c>
      <c r="B27" t="s">
        <v>11</v>
      </c>
      <c r="D27">
        <v>0</v>
      </c>
      <c r="E27">
        <v>1</v>
      </c>
      <c r="F27">
        <f>0.0248</f>
        <v>2.4799999999999999E-2</v>
      </c>
      <c r="G27" t="s">
        <v>132</v>
      </c>
    </row>
    <row r="28" spans="1:14" x14ac:dyDescent="0.25">
      <c r="A28" s="1" t="s">
        <v>12</v>
      </c>
      <c r="B28" t="s">
        <v>13</v>
      </c>
      <c r="C28" t="s">
        <v>14</v>
      </c>
      <c r="D28">
        <v>0</v>
      </c>
      <c r="F28" s="3">
        <v>0.7</v>
      </c>
      <c r="G28" t="s">
        <v>131</v>
      </c>
    </row>
    <row r="29" spans="1:14" x14ac:dyDescent="0.25">
      <c r="A29" s="1" t="s">
        <v>15</v>
      </c>
      <c r="B29" t="s">
        <v>16</v>
      </c>
      <c r="C29" t="s">
        <v>17</v>
      </c>
      <c r="D29">
        <v>0</v>
      </c>
    </row>
    <row r="30" spans="1:14" x14ac:dyDescent="0.25">
      <c r="A30" s="1" t="s">
        <v>108</v>
      </c>
      <c r="B30" t="s">
        <v>63</v>
      </c>
      <c r="C30" t="s">
        <v>24</v>
      </c>
      <c r="E30">
        <v>6</v>
      </c>
      <c r="H30">
        <f>27*8/9.8</f>
        <v>22.04081632653061</v>
      </c>
    </row>
    <row r="31" spans="1:14" x14ac:dyDescent="0.25">
      <c r="A31" s="1" t="s">
        <v>64</v>
      </c>
      <c r="B31" t="s">
        <v>23</v>
      </c>
      <c r="C31" t="s">
        <v>24</v>
      </c>
    </row>
    <row r="32" spans="1:14" x14ac:dyDescent="0.25">
      <c r="A32" s="1" t="s">
        <v>65</v>
      </c>
      <c r="B32" t="s">
        <v>66</v>
      </c>
      <c r="C32" t="s">
        <v>24</v>
      </c>
    </row>
    <row r="33" spans="1:6" x14ac:dyDescent="0.25">
      <c r="A33" s="1" t="s">
        <v>67</v>
      </c>
      <c r="B33" t="s">
        <v>68</v>
      </c>
    </row>
    <row r="34" spans="1:6" x14ac:dyDescent="0.25">
      <c r="A34" s="1" t="s">
        <v>46</v>
      </c>
      <c r="B34" t="s">
        <v>47</v>
      </c>
      <c r="C34" t="s">
        <v>117</v>
      </c>
      <c r="D34">
        <v>0</v>
      </c>
    </row>
    <row r="35" spans="1:6" x14ac:dyDescent="0.25">
      <c r="A35" s="1" t="s">
        <v>48</v>
      </c>
      <c r="B35" t="s">
        <v>49</v>
      </c>
      <c r="C35" t="s">
        <v>50</v>
      </c>
      <c r="F35" t="s">
        <v>118</v>
      </c>
    </row>
    <row r="36" spans="1:6" x14ac:dyDescent="0.25">
      <c r="A36" s="1" t="s">
        <v>55</v>
      </c>
      <c r="B36" t="s">
        <v>56</v>
      </c>
    </row>
    <row r="37" spans="1:6" x14ac:dyDescent="0.25">
      <c r="A37" s="1" t="s">
        <v>104</v>
      </c>
      <c r="B37" t="s">
        <v>57</v>
      </c>
      <c r="C37" t="s">
        <v>105</v>
      </c>
    </row>
    <row r="38" spans="1:6" x14ac:dyDescent="0.25">
      <c r="A38" s="1" t="s">
        <v>106</v>
      </c>
      <c r="B38" t="s">
        <v>107</v>
      </c>
      <c r="C38" t="s">
        <v>105</v>
      </c>
    </row>
    <row r="39" spans="1:6" x14ac:dyDescent="0.25">
      <c r="A39" s="1" t="s">
        <v>58</v>
      </c>
      <c r="B39" t="s">
        <v>59</v>
      </c>
      <c r="C39" t="s">
        <v>6</v>
      </c>
    </row>
    <row r="41" spans="1:6" x14ac:dyDescent="0.25">
      <c r="A41" s="1" t="s">
        <v>0</v>
      </c>
      <c r="B41" s="1" t="s">
        <v>43</v>
      </c>
      <c r="C41" s="1"/>
      <c r="D41" s="1"/>
      <c r="E41" s="1"/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2670-3BEC-4F76-86A4-2FDF610F6C45}">
  <dimension ref="A1:N41"/>
  <sheetViews>
    <sheetView topLeftCell="A10" workbookViewId="0">
      <selection activeCell="F21" sqref="F21:N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119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109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110</v>
      </c>
    </row>
    <row r="11" spans="1:6" x14ac:dyDescent="0.25">
      <c r="A11" s="1" t="s">
        <v>69</v>
      </c>
      <c r="B11" t="s">
        <v>133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86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F16/24</f>
        <v>1.25</v>
      </c>
      <c r="F16" s="4">
        <v>30</v>
      </c>
    </row>
    <row r="17" spans="1:14" x14ac:dyDescent="0.25">
      <c r="A17" s="1" t="s">
        <v>90</v>
      </c>
      <c r="B17" t="s">
        <v>91</v>
      </c>
      <c r="C17" t="s">
        <v>124</v>
      </c>
      <c r="D17">
        <v>82.057366080959994</v>
      </c>
    </row>
    <row r="18" spans="1:14" x14ac:dyDescent="0.25">
      <c r="A18" s="1" t="s">
        <v>93</v>
      </c>
      <c r="B18" t="s">
        <v>94</v>
      </c>
      <c r="C18" t="s">
        <v>95</v>
      </c>
      <c r="D18" s="8">
        <f>273.15+F18</f>
        <v>298.14999999999998</v>
      </c>
      <c r="E18" s="8"/>
      <c r="F18" s="8">
        <v>25</v>
      </c>
      <c r="G18" s="9" t="s">
        <v>127</v>
      </c>
    </row>
    <row r="19" spans="1:14" x14ac:dyDescent="0.25">
      <c r="A19" s="1" t="s">
        <v>97</v>
      </c>
      <c r="B19" t="s">
        <v>98</v>
      </c>
      <c r="C19" t="s">
        <v>125</v>
      </c>
      <c r="D19" s="8">
        <f>D17*D18/1000</f>
        <v>24.465403697038223</v>
      </c>
      <c r="E19" s="8"/>
      <c r="F19" s="8" t="s">
        <v>100</v>
      </c>
      <c r="G19" s="8"/>
      <c r="H19" s="8"/>
      <c r="I19" s="8"/>
      <c r="J19" s="8"/>
      <c r="K19" s="8"/>
      <c r="L19" s="8"/>
      <c r="M19" s="8"/>
      <c r="N19" s="8"/>
    </row>
    <row r="20" spans="1:14" x14ac:dyDescent="0.25">
      <c r="A20" s="1" t="s">
        <v>101</v>
      </c>
      <c r="B20" t="s">
        <v>102</v>
      </c>
      <c r="C20" t="s">
        <v>103</v>
      </c>
      <c r="D20">
        <v>0</v>
      </c>
      <c r="E20" s="10">
        <v>0.28999999999999998</v>
      </c>
      <c r="F20" s="10" t="s">
        <v>135</v>
      </c>
      <c r="G20" s="10"/>
      <c r="H20" s="10"/>
      <c r="I20" s="10"/>
      <c r="J20" s="10"/>
      <c r="K20" s="10"/>
      <c r="L20" s="10"/>
      <c r="M20" s="10"/>
      <c r="N20" s="10"/>
    </row>
    <row r="21" spans="1:14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  <c r="F21" s="11">
        <f>2.043*166*1440/1000000</f>
        <v>0.48835872000000002</v>
      </c>
      <c r="G21" s="11" t="s">
        <v>128</v>
      </c>
      <c r="H21" s="11"/>
      <c r="I21" s="11"/>
      <c r="J21" s="11"/>
      <c r="K21" s="11"/>
      <c r="L21" s="11"/>
      <c r="M21" s="11"/>
      <c r="N21" s="11"/>
    </row>
    <row r="22" spans="1:14" x14ac:dyDescent="0.25">
      <c r="A22" s="1" t="s">
        <v>111</v>
      </c>
      <c r="B22" t="s">
        <v>112</v>
      </c>
      <c r="C22" t="s">
        <v>113</v>
      </c>
      <c r="D22">
        <v>0</v>
      </c>
      <c r="E22" s="11">
        <f>F26*F22*F21/E20</f>
        <v>20.674245412303449</v>
      </c>
      <c r="F22" s="11">
        <f>0.3189+I22</f>
        <v>0.45469999999999999</v>
      </c>
      <c r="G22" s="11" t="s">
        <v>126</v>
      </c>
      <c r="H22" s="11"/>
      <c r="I22" s="11">
        <f>0.1358</f>
        <v>0.1358</v>
      </c>
      <c r="J22" s="11" t="s">
        <v>130</v>
      </c>
      <c r="K22" s="11"/>
      <c r="L22" s="11"/>
      <c r="M22" s="11"/>
      <c r="N22" s="11"/>
    </row>
    <row r="23" spans="1:14" x14ac:dyDescent="0.25">
      <c r="A23" s="1" t="s">
        <v>114</v>
      </c>
      <c r="B23" t="s">
        <v>115</v>
      </c>
      <c r="C23" t="s">
        <v>24</v>
      </c>
      <c r="E23">
        <v>6</v>
      </c>
      <c r="F23" s="11" t="s">
        <v>116</v>
      </c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" t="s">
        <v>21</v>
      </c>
      <c r="B24" t="s">
        <v>22</v>
      </c>
      <c r="C24" t="s">
        <v>6</v>
      </c>
      <c r="D24">
        <v>0</v>
      </c>
    </row>
    <row r="25" spans="1:14" x14ac:dyDescent="0.25">
      <c r="A25" s="1" t="s">
        <v>53</v>
      </c>
      <c r="B25" t="s">
        <v>54</v>
      </c>
      <c r="C25" t="s">
        <v>24</v>
      </c>
    </row>
    <row r="26" spans="1:14" x14ac:dyDescent="0.25">
      <c r="A26" s="1" t="s">
        <v>7</v>
      </c>
      <c r="B26" t="s">
        <v>8</v>
      </c>
      <c r="C26" t="s">
        <v>9</v>
      </c>
      <c r="D26">
        <v>0</v>
      </c>
      <c r="E26">
        <f>F26*D19*F27/(414.07*F28)</f>
        <v>4.8542702117884418E-2</v>
      </c>
      <c r="F26">
        <f>H26+I26</f>
        <v>27</v>
      </c>
      <c r="G26" t="s">
        <v>120</v>
      </c>
      <c r="H26" s="3">
        <v>27</v>
      </c>
    </row>
    <row r="27" spans="1:14" x14ac:dyDescent="0.25">
      <c r="A27" s="1" t="s">
        <v>10</v>
      </c>
      <c r="B27" t="s">
        <v>11</v>
      </c>
      <c r="D27">
        <v>0</v>
      </c>
      <c r="E27">
        <v>1</v>
      </c>
      <c r="F27">
        <f>0.0213</f>
        <v>2.1299999999999999E-2</v>
      </c>
      <c r="G27" t="s">
        <v>132</v>
      </c>
    </row>
    <row r="28" spans="1:14" x14ac:dyDescent="0.25">
      <c r="A28" s="1" t="s">
        <v>12</v>
      </c>
      <c r="B28" t="s">
        <v>13</v>
      </c>
      <c r="C28" t="s">
        <v>14</v>
      </c>
      <c r="D28">
        <v>0</v>
      </c>
      <c r="F28" s="3">
        <v>0.7</v>
      </c>
      <c r="G28" t="s">
        <v>131</v>
      </c>
    </row>
    <row r="29" spans="1:14" x14ac:dyDescent="0.25">
      <c r="A29" s="1" t="s">
        <v>15</v>
      </c>
      <c r="B29" t="s">
        <v>16</v>
      </c>
      <c r="C29" t="s">
        <v>17</v>
      </c>
      <c r="D29">
        <v>0</v>
      </c>
    </row>
    <row r="30" spans="1:14" x14ac:dyDescent="0.25">
      <c r="A30" s="1" t="s">
        <v>108</v>
      </c>
      <c r="B30" t="s">
        <v>63</v>
      </c>
      <c r="C30" t="s">
        <v>24</v>
      </c>
      <c r="E30">
        <v>6</v>
      </c>
    </row>
    <row r="31" spans="1:14" x14ac:dyDescent="0.25">
      <c r="A31" s="1" t="s">
        <v>64</v>
      </c>
      <c r="B31" t="s">
        <v>23</v>
      </c>
      <c r="C31" t="s">
        <v>24</v>
      </c>
    </row>
    <row r="32" spans="1:14" x14ac:dyDescent="0.25">
      <c r="A32" s="1" t="s">
        <v>65</v>
      </c>
      <c r="B32" t="s">
        <v>66</v>
      </c>
      <c r="C32" t="s">
        <v>24</v>
      </c>
    </row>
    <row r="33" spans="1:6" x14ac:dyDescent="0.25">
      <c r="A33" s="1" t="s">
        <v>67</v>
      </c>
      <c r="B33" t="s">
        <v>68</v>
      </c>
    </row>
    <row r="34" spans="1:6" x14ac:dyDescent="0.25">
      <c r="A34" s="1" t="s">
        <v>46</v>
      </c>
      <c r="B34" t="s">
        <v>47</v>
      </c>
      <c r="C34" t="s">
        <v>117</v>
      </c>
      <c r="D34">
        <v>0</v>
      </c>
    </row>
    <row r="35" spans="1:6" x14ac:dyDescent="0.25">
      <c r="A35" s="1" t="s">
        <v>48</v>
      </c>
      <c r="B35" t="s">
        <v>49</v>
      </c>
      <c r="C35" t="s">
        <v>50</v>
      </c>
      <c r="F35" t="s">
        <v>118</v>
      </c>
    </row>
    <row r="36" spans="1:6" x14ac:dyDescent="0.25">
      <c r="A36" s="1" t="s">
        <v>55</v>
      </c>
      <c r="B36" t="s">
        <v>56</v>
      </c>
    </row>
    <row r="37" spans="1:6" x14ac:dyDescent="0.25">
      <c r="A37" s="1" t="s">
        <v>104</v>
      </c>
      <c r="B37" t="s">
        <v>57</v>
      </c>
      <c r="C37" t="s">
        <v>105</v>
      </c>
    </row>
    <row r="38" spans="1:6" x14ac:dyDescent="0.25">
      <c r="A38" s="1" t="s">
        <v>106</v>
      </c>
      <c r="B38" t="s">
        <v>107</v>
      </c>
      <c r="C38" t="s">
        <v>105</v>
      </c>
    </row>
    <row r="39" spans="1:6" x14ac:dyDescent="0.25">
      <c r="A39" s="1" t="s">
        <v>58</v>
      </c>
      <c r="B39" t="s">
        <v>59</v>
      </c>
      <c r="C39" t="s">
        <v>6</v>
      </c>
    </row>
    <row r="41" spans="1:6" x14ac:dyDescent="0.25">
      <c r="A41" s="1" t="s">
        <v>0</v>
      </c>
      <c r="B41" s="1" t="s">
        <v>43</v>
      </c>
      <c r="C41" s="1"/>
      <c r="D41" s="1"/>
      <c r="E41" s="1"/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88105-ECD0-4DCF-9743-EC051B14442F}">
  <dimension ref="A1:N41"/>
  <sheetViews>
    <sheetView workbookViewId="0">
      <selection activeCell="F23" sqref="F23:N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119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109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110</v>
      </c>
    </row>
    <row r="11" spans="1:6" x14ac:dyDescent="0.25">
      <c r="A11" s="1" t="s">
        <v>69</v>
      </c>
      <c r="B11" t="s">
        <v>133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86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7*3</f>
        <v>21</v>
      </c>
      <c r="F16" s="4" t="s">
        <v>121</v>
      </c>
    </row>
    <row r="17" spans="1:14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14" x14ac:dyDescent="0.25">
      <c r="A18" s="1" t="s">
        <v>93</v>
      </c>
      <c r="B18" t="s">
        <v>94</v>
      </c>
      <c r="C18" t="s">
        <v>95</v>
      </c>
      <c r="D18" s="8">
        <f>273.15+F18</f>
        <v>298.14999999999998</v>
      </c>
      <c r="E18" s="8"/>
      <c r="F18" s="8">
        <v>25</v>
      </c>
      <c r="G18" s="9" t="s">
        <v>127</v>
      </c>
    </row>
    <row r="19" spans="1:14" x14ac:dyDescent="0.25">
      <c r="A19" s="1" t="s">
        <v>97</v>
      </c>
      <c r="B19" t="s">
        <v>98</v>
      </c>
      <c r="C19" t="s">
        <v>99</v>
      </c>
      <c r="D19" s="8">
        <f>D17*D18/1000</f>
        <v>24.465403697038223</v>
      </c>
      <c r="E19" s="8"/>
      <c r="F19" s="8" t="s">
        <v>100</v>
      </c>
      <c r="G19" s="8"/>
      <c r="H19" s="8"/>
      <c r="I19" s="8"/>
      <c r="J19" s="8"/>
      <c r="K19" s="8"/>
      <c r="L19" s="8"/>
      <c r="M19" s="8"/>
      <c r="N19" s="8"/>
    </row>
    <row r="20" spans="1:14" x14ac:dyDescent="0.25">
      <c r="A20" s="1" t="s">
        <v>101</v>
      </c>
      <c r="B20" t="s">
        <v>102</v>
      </c>
      <c r="C20" t="s">
        <v>103</v>
      </c>
      <c r="D20">
        <v>0</v>
      </c>
      <c r="E20" s="10">
        <v>0.28999999999999998</v>
      </c>
      <c r="F20" s="10" t="s">
        <v>135</v>
      </c>
      <c r="G20" s="10"/>
      <c r="H20" s="10"/>
      <c r="I20" s="10"/>
      <c r="J20" s="10"/>
      <c r="K20" s="10"/>
      <c r="L20" s="10"/>
      <c r="M20" s="10"/>
      <c r="N20" s="10"/>
    </row>
    <row r="21" spans="1:14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  <c r="F21" s="11">
        <f>2.043*166*1440/1000000</f>
        <v>0.48835872000000002</v>
      </c>
      <c r="G21" s="11" t="s">
        <v>128</v>
      </c>
      <c r="H21" s="11"/>
      <c r="I21" s="11"/>
      <c r="J21" s="11"/>
      <c r="K21" s="11"/>
      <c r="L21" s="11"/>
      <c r="M21" s="11"/>
      <c r="N21" s="11"/>
    </row>
    <row r="22" spans="1:14" x14ac:dyDescent="0.25">
      <c r="A22" s="1" t="s">
        <v>111</v>
      </c>
      <c r="B22" t="s">
        <v>112</v>
      </c>
      <c r="C22" t="s">
        <v>113</v>
      </c>
      <c r="D22">
        <v>0</v>
      </c>
      <c r="E22" s="11">
        <f>F26*F22*F21/E20</f>
        <v>0.73873518375724156</v>
      </c>
      <c r="F22" s="11">
        <f>0.1337+0.2651</f>
        <v>0.39880000000000004</v>
      </c>
      <c r="G22" s="11" t="s">
        <v>126</v>
      </c>
      <c r="H22" s="11"/>
      <c r="I22" s="11"/>
      <c r="J22" s="11">
        <f>E22*E20/24</f>
        <v>8.9263834704000015E-3</v>
      </c>
      <c r="K22" s="11"/>
      <c r="L22" s="11"/>
      <c r="M22" s="11"/>
      <c r="N22" s="11"/>
    </row>
    <row r="23" spans="1:14" x14ac:dyDescent="0.25">
      <c r="A23" s="1" t="s">
        <v>114</v>
      </c>
      <c r="B23" t="s">
        <v>115</v>
      </c>
      <c r="C23" t="s">
        <v>24</v>
      </c>
      <c r="E23">
        <v>6</v>
      </c>
      <c r="F23" s="11" t="s">
        <v>116</v>
      </c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" t="s">
        <v>21</v>
      </c>
      <c r="B24" t="s">
        <v>22</v>
      </c>
      <c r="C24" t="s">
        <v>6</v>
      </c>
      <c r="D24">
        <v>0</v>
      </c>
    </row>
    <row r="25" spans="1:14" x14ac:dyDescent="0.25">
      <c r="A25" s="1" t="s">
        <v>53</v>
      </c>
      <c r="B25" t="s">
        <v>54</v>
      </c>
      <c r="C25" t="s">
        <v>24</v>
      </c>
    </row>
    <row r="26" spans="1:14" x14ac:dyDescent="0.25">
      <c r="A26" s="1" t="s">
        <v>7</v>
      </c>
      <c r="B26" t="s">
        <v>8</v>
      </c>
      <c r="C26" t="s">
        <v>9</v>
      </c>
      <c r="D26">
        <v>0</v>
      </c>
      <c r="E26">
        <f>F26*D19*F27/(414.07*F28)</f>
        <v>2.2840645440965965E-3</v>
      </c>
      <c r="F26">
        <f>H26+I26</f>
        <v>1.1000000000000001</v>
      </c>
      <c r="G26" t="s">
        <v>120</v>
      </c>
      <c r="H26">
        <v>1.1000000000000001</v>
      </c>
      <c r="I26" s="3"/>
    </row>
    <row r="27" spans="1:14" x14ac:dyDescent="0.25">
      <c r="A27" s="1" t="s">
        <v>10</v>
      </c>
      <c r="B27" t="s">
        <v>11</v>
      </c>
      <c r="D27">
        <v>0</v>
      </c>
      <c r="E27">
        <v>1</v>
      </c>
      <c r="F27">
        <f>0.0246</f>
        <v>2.46E-2</v>
      </c>
      <c r="G27" t="s">
        <v>132</v>
      </c>
    </row>
    <row r="28" spans="1:14" x14ac:dyDescent="0.25">
      <c r="A28" s="1" t="s">
        <v>12</v>
      </c>
      <c r="B28" t="s">
        <v>13</v>
      </c>
      <c r="C28" t="s">
        <v>14</v>
      </c>
      <c r="D28">
        <v>0</v>
      </c>
      <c r="F28" s="3">
        <v>0.7</v>
      </c>
      <c r="G28" t="s">
        <v>131</v>
      </c>
    </row>
    <row r="29" spans="1:14" x14ac:dyDescent="0.25">
      <c r="A29" s="1" t="s">
        <v>15</v>
      </c>
      <c r="B29" t="s">
        <v>16</v>
      </c>
      <c r="C29" t="s">
        <v>17</v>
      </c>
      <c r="D29">
        <v>0</v>
      </c>
    </row>
    <row r="30" spans="1:14" x14ac:dyDescent="0.25">
      <c r="A30" s="1" t="s">
        <v>108</v>
      </c>
      <c r="B30" t="s">
        <v>63</v>
      </c>
      <c r="C30" t="s">
        <v>24</v>
      </c>
      <c r="E30">
        <v>6</v>
      </c>
    </row>
    <row r="31" spans="1:14" x14ac:dyDescent="0.25">
      <c r="A31" s="1" t="s">
        <v>64</v>
      </c>
      <c r="B31" t="s">
        <v>23</v>
      </c>
      <c r="C31" t="s">
        <v>24</v>
      </c>
      <c r="E31">
        <v>0</v>
      </c>
    </row>
    <row r="32" spans="1:14" x14ac:dyDescent="0.25">
      <c r="A32" s="1" t="s">
        <v>65</v>
      </c>
      <c r="B32" t="s">
        <v>66</v>
      </c>
      <c r="C32" t="s">
        <v>24</v>
      </c>
      <c r="E32">
        <v>6</v>
      </c>
    </row>
    <row r="33" spans="1:6" x14ac:dyDescent="0.25">
      <c r="A33" s="1" t="s">
        <v>67</v>
      </c>
      <c r="B33" t="s">
        <v>68</v>
      </c>
      <c r="E33">
        <v>5</v>
      </c>
    </row>
    <row r="34" spans="1:6" x14ac:dyDescent="0.25">
      <c r="A34" s="1" t="s">
        <v>46</v>
      </c>
      <c r="B34" t="s">
        <v>47</v>
      </c>
      <c r="C34" t="s">
        <v>117</v>
      </c>
      <c r="D34">
        <v>0</v>
      </c>
    </row>
    <row r="35" spans="1:6" x14ac:dyDescent="0.25">
      <c r="A35" s="1" t="s">
        <v>48</v>
      </c>
      <c r="B35" t="s">
        <v>49</v>
      </c>
      <c r="C35" t="s">
        <v>50</v>
      </c>
      <c r="F35" t="s">
        <v>118</v>
      </c>
    </row>
    <row r="36" spans="1:6" x14ac:dyDescent="0.25">
      <c r="A36" s="1" t="s">
        <v>55</v>
      </c>
      <c r="B36" t="s">
        <v>56</v>
      </c>
    </row>
    <row r="37" spans="1:6" x14ac:dyDescent="0.25">
      <c r="A37" s="1" t="s">
        <v>104</v>
      </c>
      <c r="B37" t="s">
        <v>57</v>
      </c>
      <c r="C37" t="s">
        <v>105</v>
      </c>
    </row>
    <row r="38" spans="1:6" x14ac:dyDescent="0.25">
      <c r="A38" s="1" t="s">
        <v>106</v>
      </c>
      <c r="B38" t="s">
        <v>107</v>
      </c>
      <c r="C38" t="s">
        <v>105</v>
      </c>
    </row>
    <row r="39" spans="1:6" x14ac:dyDescent="0.25">
      <c r="A39" s="1" t="s">
        <v>58</v>
      </c>
      <c r="B39" t="s">
        <v>59</v>
      </c>
      <c r="C39" t="s">
        <v>6</v>
      </c>
    </row>
    <row r="41" spans="1:6" x14ac:dyDescent="0.25">
      <c r="A41" s="1" t="s">
        <v>0</v>
      </c>
      <c r="B41" s="1" t="s">
        <v>43</v>
      </c>
      <c r="C41" s="1"/>
      <c r="D41" s="1"/>
      <c r="E41" s="1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E329-8BDF-4C36-AE4E-E29005D47EBC}">
  <dimension ref="A1:N41"/>
  <sheetViews>
    <sheetView topLeftCell="A10" workbookViewId="0">
      <selection activeCell="F21" sqref="F21:N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119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109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110</v>
      </c>
    </row>
    <row r="11" spans="1:6" x14ac:dyDescent="0.25">
      <c r="A11" s="1" t="s">
        <v>69</v>
      </c>
      <c r="B11" t="s">
        <v>133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86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7*3</f>
        <v>21</v>
      </c>
      <c r="F16" s="4" t="s">
        <v>121</v>
      </c>
    </row>
    <row r="17" spans="1:14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14" x14ac:dyDescent="0.25">
      <c r="A18" s="1" t="s">
        <v>93</v>
      </c>
      <c r="B18" t="s">
        <v>94</v>
      </c>
      <c r="C18" t="s">
        <v>95</v>
      </c>
      <c r="D18" s="8">
        <f>273.15+F18</f>
        <v>298.14999999999998</v>
      </c>
      <c r="E18" s="8"/>
      <c r="F18" s="8">
        <v>25</v>
      </c>
      <c r="G18" s="9" t="s">
        <v>127</v>
      </c>
    </row>
    <row r="19" spans="1:14" x14ac:dyDescent="0.25">
      <c r="A19" s="1" t="s">
        <v>97</v>
      </c>
      <c r="B19" t="s">
        <v>98</v>
      </c>
      <c r="C19" t="s">
        <v>99</v>
      </c>
      <c r="D19" s="8">
        <f>D17*D18/1000</f>
        <v>24.465403697038223</v>
      </c>
      <c r="E19" s="8"/>
      <c r="F19" s="8" t="s">
        <v>100</v>
      </c>
      <c r="G19" s="8"/>
      <c r="H19" s="8"/>
      <c r="I19" s="8"/>
      <c r="J19" s="8"/>
      <c r="K19" s="8"/>
      <c r="L19" s="8"/>
      <c r="M19" s="8"/>
      <c r="N19" s="8"/>
    </row>
    <row r="20" spans="1:14" x14ac:dyDescent="0.25">
      <c r="A20" s="1" t="s">
        <v>101</v>
      </c>
      <c r="B20" t="s">
        <v>102</v>
      </c>
      <c r="C20" t="s">
        <v>103</v>
      </c>
      <c r="D20">
        <v>0</v>
      </c>
      <c r="E20" s="10">
        <v>0.28999999999999998</v>
      </c>
      <c r="F20" s="10" t="s">
        <v>135</v>
      </c>
      <c r="G20" s="10"/>
      <c r="H20" s="10"/>
      <c r="I20" s="10"/>
      <c r="J20" s="10"/>
      <c r="K20" s="10"/>
      <c r="L20" s="10"/>
      <c r="M20" s="10"/>
      <c r="N20" s="10"/>
    </row>
    <row r="21" spans="1:14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  <c r="F21" s="11">
        <f>2.043*166*1440/1000000</f>
        <v>0.48835872000000002</v>
      </c>
      <c r="G21" s="11" t="s">
        <v>128</v>
      </c>
      <c r="H21" s="11"/>
      <c r="I21" s="11"/>
      <c r="J21" s="11"/>
      <c r="K21" s="11"/>
      <c r="L21" s="11"/>
      <c r="M21" s="11"/>
      <c r="N21" s="11"/>
    </row>
    <row r="22" spans="1:14" x14ac:dyDescent="0.25">
      <c r="A22" s="1" t="s">
        <v>111</v>
      </c>
      <c r="B22" t="s">
        <v>112</v>
      </c>
      <c r="C22" t="s">
        <v>113</v>
      </c>
      <c r="D22">
        <v>0</v>
      </c>
      <c r="E22" s="11">
        <f>F26*F22*F21/E20</f>
        <v>6.5844227420689663</v>
      </c>
      <c r="F22" s="11">
        <f>0.1142+0.2768</f>
        <v>0.39100000000000001</v>
      </c>
      <c r="G22" s="11" t="s">
        <v>126</v>
      </c>
      <c r="H22" s="11"/>
      <c r="I22" s="11"/>
      <c r="J22" s="11"/>
      <c r="K22" s="11"/>
      <c r="L22" s="11"/>
      <c r="M22" s="11"/>
      <c r="N22" s="11"/>
    </row>
    <row r="23" spans="1:14" x14ac:dyDescent="0.25">
      <c r="A23" s="1" t="s">
        <v>114</v>
      </c>
      <c r="B23" t="s">
        <v>115</v>
      </c>
      <c r="C23" t="s">
        <v>24</v>
      </c>
      <c r="E23">
        <v>6</v>
      </c>
      <c r="F23" s="11" t="s">
        <v>116</v>
      </c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" t="s">
        <v>21</v>
      </c>
      <c r="B24" t="s">
        <v>22</v>
      </c>
      <c r="C24" t="s">
        <v>6</v>
      </c>
      <c r="D24">
        <v>0</v>
      </c>
    </row>
    <row r="25" spans="1:14" x14ac:dyDescent="0.25">
      <c r="A25" s="1" t="s">
        <v>53</v>
      </c>
      <c r="B25" t="s">
        <v>54</v>
      </c>
      <c r="C25" t="s">
        <v>24</v>
      </c>
    </row>
    <row r="26" spans="1:14" x14ac:dyDescent="0.25">
      <c r="A26" s="1" t="s">
        <v>7</v>
      </c>
      <c r="B26" t="s">
        <v>8</v>
      </c>
      <c r="C26" t="s">
        <v>9</v>
      </c>
      <c r="D26">
        <v>0</v>
      </c>
      <c r="E26">
        <f>F26*D19*F27/(414.07*F28)</f>
        <v>2.0933037950330965E-2</v>
      </c>
      <c r="F26">
        <f>H26+I26</f>
        <v>10</v>
      </c>
      <c r="G26" t="s">
        <v>120</v>
      </c>
      <c r="H26">
        <v>10</v>
      </c>
      <c r="I26" s="3"/>
    </row>
    <row r="27" spans="1:14" x14ac:dyDescent="0.25">
      <c r="A27" s="1" t="s">
        <v>10</v>
      </c>
      <c r="B27" t="s">
        <v>11</v>
      </c>
      <c r="D27">
        <v>0</v>
      </c>
      <c r="E27">
        <v>1</v>
      </c>
      <c r="F27">
        <f>0.0248</f>
        <v>2.4799999999999999E-2</v>
      </c>
      <c r="G27" t="s">
        <v>132</v>
      </c>
    </row>
    <row r="28" spans="1:14" x14ac:dyDescent="0.25">
      <c r="A28" s="1" t="s">
        <v>12</v>
      </c>
      <c r="B28" t="s">
        <v>13</v>
      </c>
      <c r="C28" t="s">
        <v>14</v>
      </c>
      <c r="D28">
        <v>0</v>
      </c>
      <c r="F28" s="3">
        <v>0.7</v>
      </c>
      <c r="G28" t="s">
        <v>131</v>
      </c>
    </row>
    <row r="29" spans="1:14" x14ac:dyDescent="0.25">
      <c r="A29" s="1" t="s">
        <v>15</v>
      </c>
      <c r="B29" t="s">
        <v>16</v>
      </c>
      <c r="C29" t="s">
        <v>17</v>
      </c>
      <c r="D29">
        <v>0</v>
      </c>
    </row>
    <row r="30" spans="1:14" x14ac:dyDescent="0.25">
      <c r="A30" s="1" t="s">
        <v>108</v>
      </c>
      <c r="B30" t="s">
        <v>63</v>
      </c>
      <c r="C30" t="s">
        <v>24</v>
      </c>
      <c r="E30">
        <v>6</v>
      </c>
    </row>
    <row r="31" spans="1:14" x14ac:dyDescent="0.25">
      <c r="A31" s="1" t="s">
        <v>64</v>
      </c>
      <c r="B31" t="s">
        <v>23</v>
      </c>
      <c r="C31" t="s">
        <v>24</v>
      </c>
      <c r="E31">
        <v>0</v>
      </c>
    </row>
    <row r="32" spans="1:14" x14ac:dyDescent="0.25">
      <c r="A32" s="1" t="s">
        <v>65</v>
      </c>
      <c r="B32" t="s">
        <v>66</v>
      </c>
      <c r="C32" t="s">
        <v>24</v>
      </c>
      <c r="E32">
        <v>6</v>
      </c>
    </row>
    <row r="33" spans="1:6" x14ac:dyDescent="0.25">
      <c r="A33" s="1" t="s">
        <v>67</v>
      </c>
      <c r="B33" t="s">
        <v>68</v>
      </c>
      <c r="E33">
        <v>5</v>
      </c>
    </row>
    <row r="34" spans="1:6" x14ac:dyDescent="0.25">
      <c r="A34" s="1" t="s">
        <v>46</v>
      </c>
      <c r="B34" t="s">
        <v>47</v>
      </c>
      <c r="C34" t="s">
        <v>117</v>
      </c>
      <c r="D34">
        <v>0</v>
      </c>
    </row>
    <row r="35" spans="1:6" x14ac:dyDescent="0.25">
      <c r="A35" s="1" t="s">
        <v>48</v>
      </c>
      <c r="B35" t="s">
        <v>49</v>
      </c>
      <c r="C35" t="s">
        <v>50</v>
      </c>
      <c r="F35" t="s">
        <v>118</v>
      </c>
    </row>
    <row r="36" spans="1:6" x14ac:dyDescent="0.25">
      <c r="A36" s="1" t="s">
        <v>55</v>
      </c>
      <c r="B36" t="s">
        <v>56</v>
      </c>
    </row>
    <row r="37" spans="1:6" x14ac:dyDescent="0.25">
      <c r="A37" s="1" t="s">
        <v>104</v>
      </c>
      <c r="B37" t="s">
        <v>57</v>
      </c>
      <c r="C37" t="s">
        <v>105</v>
      </c>
    </row>
    <row r="38" spans="1:6" x14ac:dyDescent="0.25">
      <c r="A38" s="1" t="s">
        <v>106</v>
      </c>
      <c r="B38" t="s">
        <v>107</v>
      </c>
      <c r="C38" t="s">
        <v>105</v>
      </c>
    </row>
    <row r="39" spans="1:6" x14ac:dyDescent="0.25">
      <c r="A39" s="1" t="s">
        <v>58</v>
      </c>
      <c r="B39" t="s">
        <v>59</v>
      </c>
      <c r="C39" t="s">
        <v>6</v>
      </c>
    </row>
    <row r="41" spans="1:6" x14ac:dyDescent="0.25">
      <c r="A41" s="1" t="s">
        <v>0</v>
      </c>
      <c r="B41" s="1" t="s">
        <v>43</v>
      </c>
      <c r="C41" s="1"/>
      <c r="D41" s="1"/>
      <c r="E41" s="1"/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787C-595B-4887-A083-00959AB7E275}">
  <dimension ref="A1:N79"/>
  <sheetViews>
    <sheetView topLeftCell="A6" workbookViewId="0">
      <selection activeCell="E22" sqref="E22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  <col min="12" max="12" width="11.1406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119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109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110</v>
      </c>
    </row>
    <row r="11" spans="1:6" x14ac:dyDescent="0.25">
      <c r="A11" s="1" t="s">
        <v>69</v>
      </c>
      <c r="B11" t="s">
        <v>133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86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7*3</f>
        <v>21</v>
      </c>
      <c r="F16" s="4" t="s">
        <v>121</v>
      </c>
    </row>
    <row r="17" spans="1:14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14" x14ac:dyDescent="0.25">
      <c r="A18" s="1" t="s">
        <v>93</v>
      </c>
      <c r="B18" t="s">
        <v>94</v>
      </c>
      <c r="C18" t="s">
        <v>95</v>
      </c>
      <c r="D18" s="8">
        <f>273.15+F18</f>
        <v>298.14999999999998</v>
      </c>
      <c r="E18" s="8"/>
      <c r="F18" s="8">
        <v>25</v>
      </c>
      <c r="G18" s="9" t="s">
        <v>127</v>
      </c>
    </row>
    <row r="19" spans="1:14" x14ac:dyDescent="0.25">
      <c r="A19" s="1" t="s">
        <v>97</v>
      </c>
      <c r="B19" t="s">
        <v>98</v>
      </c>
      <c r="C19" t="s">
        <v>99</v>
      </c>
      <c r="D19" s="8">
        <f>D17*D18/1000</f>
        <v>24.465403697038223</v>
      </c>
      <c r="E19" s="8"/>
      <c r="F19" s="8" t="s">
        <v>100</v>
      </c>
      <c r="G19" s="8"/>
      <c r="H19" s="8"/>
      <c r="I19" s="8"/>
      <c r="J19" s="8"/>
      <c r="K19" s="8"/>
      <c r="L19" s="8"/>
      <c r="M19" s="8"/>
      <c r="N19" s="8"/>
    </row>
    <row r="20" spans="1:14" x14ac:dyDescent="0.25">
      <c r="A20" s="1" t="s">
        <v>101</v>
      </c>
      <c r="B20" t="s">
        <v>102</v>
      </c>
      <c r="C20" t="s">
        <v>103</v>
      </c>
      <c r="D20">
        <v>0</v>
      </c>
      <c r="E20" s="10">
        <v>0.28999999999999998</v>
      </c>
      <c r="F20" s="10" t="s">
        <v>135</v>
      </c>
      <c r="G20" s="10"/>
      <c r="H20" s="10"/>
      <c r="I20" s="10"/>
      <c r="J20" s="10"/>
      <c r="K20" s="10"/>
      <c r="L20" s="10"/>
      <c r="M20" s="10"/>
      <c r="N20" s="10"/>
    </row>
    <row r="21" spans="1:14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  <c r="F21" s="11">
        <f>2.043*166*1440/1000000</f>
        <v>0.48835872000000002</v>
      </c>
      <c r="G21" s="11" t="s">
        <v>128</v>
      </c>
      <c r="H21" s="11"/>
      <c r="I21" s="11"/>
      <c r="J21" s="11"/>
      <c r="K21" s="11"/>
      <c r="L21" s="11"/>
      <c r="M21" s="11"/>
    </row>
    <row r="22" spans="1:14" x14ac:dyDescent="0.25">
      <c r="A22" s="1" t="s">
        <v>111</v>
      </c>
      <c r="B22" t="s">
        <v>112</v>
      </c>
      <c r="C22" t="s">
        <v>113</v>
      </c>
      <c r="D22">
        <v>0</v>
      </c>
      <c r="E22" s="11">
        <f>F26*F22*F21/E20</f>
        <v>19.1428198262069</v>
      </c>
      <c r="F22" s="11">
        <f>0.1358+0.3189</f>
        <v>0.45469999999999999</v>
      </c>
      <c r="G22" s="11" t="s">
        <v>126</v>
      </c>
      <c r="H22" s="11"/>
      <c r="I22" s="11"/>
      <c r="J22" s="11"/>
      <c r="K22" s="11"/>
      <c r="L22" s="11"/>
      <c r="M22" s="11"/>
    </row>
    <row r="23" spans="1:14" x14ac:dyDescent="0.25">
      <c r="A23" s="1" t="s">
        <v>114</v>
      </c>
      <c r="B23" t="s">
        <v>115</v>
      </c>
      <c r="C23" t="s">
        <v>24</v>
      </c>
      <c r="E23">
        <v>6</v>
      </c>
      <c r="F23" s="11" t="s">
        <v>116</v>
      </c>
      <c r="G23" s="11"/>
      <c r="H23" s="11"/>
      <c r="I23" s="11"/>
      <c r="J23" s="11"/>
      <c r="K23" s="11"/>
      <c r="L23" s="11"/>
      <c r="M23" s="11"/>
    </row>
    <row r="24" spans="1:14" x14ac:dyDescent="0.25">
      <c r="A24" s="1" t="s">
        <v>21</v>
      </c>
      <c r="B24" t="s">
        <v>22</v>
      </c>
      <c r="C24" t="s">
        <v>6</v>
      </c>
      <c r="D24">
        <v>0</v>
      </c>
      <c r="G24">
        <f>0.7*1000*F21/(24*(E20^0.75))</f>
        <v>36.043524082551883</v>
      </c>
      <c r="H24" t="s">
        <v>129</v>
      </c>
      <c r="L24">
        <f>(G24*30+14*138)/168</f>
        <v>17.936343586169976</v>
      </c>
    </row>
    <row r="25" spans="1:14" x14ac:dyDescent="0.25">
      <c r="A25" s="1" t="s">
        <v>53</v>
      </c>
      <c r="B25" t="s">
        <v>54</v>
      </c>
      <c r="C25" t="s">
        <v>24</v>
      </c>
      <c r="L25">
        <f>7*24</f>
        <v>168</v>
      </c>
    </row>
    <row r="26" spans="1:14" x14ac:dyDescent="0.25">
      <c r="A26" s="1" t="s">
        <v>7</v>
      </c>
      <c r="B26" t="s">
        <v>8</v>
      </c>
      <c r="C26" t="s">
        <v>9</v>
      </c>
      <c r="D26">
        <v>0</v>
      </c>
      <c r="E26">
        <f>F26*D19*F27/(414.07*F28)</f>
        <v>4.4946946405448544E-2</v>
      </c>
      <c r="F26" s="12">
        <f>H26+I26</f>
        <v>25</v>
      </c>
      <c r="G26" t="s">
        <v>120</v>
      </c>
      <c r="H26">
        <v>25</v>
      </c>
      <c r="I26" s="3"/>
    </row>
    <row r="27" spans="1:14" x14ac:dyDescent="0.25">
      <c r="A27" s="1" t="s">
        <v>10</v>
      </c>
      <c r="B27" t="s">
        <v>11</v>
      </c>
      <c r="D27">
        <v>0</v>
      </c>
      <c r="E27">
        <v>1</v>
      </c>
      <c r="F27">
        <f>0.0213</f>
        <v>2.1299999999999999E-2</v>
      </c>
      <c r="G27" t="s">
        <v>132</v>
      </c>
    </row>
    <row r="28" spans="1:14" x14ac:dyDescent="0.25">
      <c r="A28" s="1" t="s">
        <v>12</v>
      </c>
      <c r="B28" t="s">
        <v>13</v>
      </c>
      <c r="C28" t="s">
        <v>14</v>
      </c>
      <c r="D28">
        <v>0</v>
      </c>
      <c r="F28" s="3">
        <v>0.7</v>
      </c>
      <c r="G28" t="s">
        <v>131</v>
      </c>
    </row>
    <row r="29" spans="1:14" x14ac:dyDescent="0.25">
      <c r="A29" s="1" t="s">
        <v>15</v>
      </c>
      <c r="B29" t="s">
        <v>16</v>
      </c>
      <c r="C29" t="s">
        <v>17</v>
      </c>
      <c r="D29">
        <v>0</v>
      </c>
    </row>
    <row r="30" spans="1:14" x14ac:dyDescent="0.25">
      <c r="A30" s="1" t="s">
        <v>108</v>
      </c>
      <c r="B30" t="s">
        <v>63</v>
      </c>
      <c r="C30" t="s">
        <v>24</v>
      </c>
      <c r="E30">
        <v>6</v>
      </c>
    </row>
    <row r="31" spans="1:14" x14ac:dyDescent="0.25">
      <c r="A31" s="1" t="s">
        <v>64</v>
      </c>
      <c r="B31" t="s">
        <v>23</v>
      </c>
      <c r="C31" t="s">
        <v>24</v>
      </c>
      <c r="E31">
        <v>0</v>
      </c>
    </row>
    <row r="32" spans="1:14" x14ac:dyDescent="0.25">
      <c r="A32" s="1" t="s">
        <v>65</v>
      </c>
      <c r="B32" t="s">
        <v>66</v>
      </c>
      <c r="C32" t="s">
        <v>24</v>
      </c>
      <c r="E32">
        <v>6</v>
      </c>
    </row>
    <row r="33" spans="1:13" x14ac:dyDescent="0.25">
      <c r="A33" s="1" t="s">
        <v>67</v>
      </c>
      <c r="B33" t="s">
        <v>68</v>
      </c>
      <c r="E33">
        <v>5</v>
      </c>
    </row>
    <row r="34" spans="1:13" x14ac:dyDescent="0.25">
      <c r="A34" s="1" t="s">
        <v>46</v>
      </c>
      <c r="B34" t="s">
        <v>47</v>
      </c>
      <c r="C34" t="s">
        <v>117</v>
      </c>
      <c r="D34">
        <v>0</v>
      </c>
    </row>
    <row r="35" spans="1:13" x14ac:dyDescent="0.25">
      <c r="A35" s="1" t="s">
        <v>48</v>
      </c>
      <c r="B35" t="s">
        <v>49</v>
      </c>
      <c r="C35" t="s">
        <v>50</v>
      </c>
      <c r="F35" t="s">
        <v>118</v>
      </c>
    </row>
    <row r="36" spans="1:13" x14ac:dyDescent="0.25">
      <c r="A36" s="1" t="s">
        <v>55</v>
      </c>
      <c r="B36" t="s">
        <v>56</v>
      </c>
    </row>
    <row r="37" spans="1:13" x14ac:dyDescent="0.25">
      <c r="A37" s="1" t="s">
        <v>104</v>
      </c>
      <c r="B37" t="s">
        <v>57</v>
      </c>
      <c r="C37" t="s">
        <v>105</v>
      </c>
    </row>
    <row r="38" spans="1:13" x14ac:dyDescent="0.25">
      <c r="A38" s="1" t="s">
        <v>106</v>
      </c>
      <c r="B38" t="s">
        <v>107</v>
      </c>
      <c r="C38" t="s">
        <v>105</v>
      </c>
    </row>
    <row r="39" spans="1:13" x14ac:dyDescent="0.25">
      <c r="A39" s="1" t="s">
        <v>58</v>
      </c>
      <c r="B39" t="s">
        <v>59</v>
      </c>
      <c r="C39" t="s">
        <v>6</v>
      </c>
      <c r="J39" s="5"/>
    </row>
    <row r="41" spans="1:13" x14ac:dyDescent="0.25">
      <c r="A41" s="1" t="s">
        <v>0</v>
      </c>
      <c r="B41" s="1" t="s">
        <v>43</v>
      </c>
      <c r="C41" s="1"/>
      <c r="D41" s="1"/>
      <c r="E41" s="1"/>
    </row>
    <row r="43" spans="1:13" x14ac:dyDescent="0.25">
      <c r="L43" s="6"/>
      <c r="M43" s="6"/>
    </row>
    <row r="44" spans="1:13" x14ac:dyDescent="0.25">
      <c r="H44" s="7"/>
      <c r="I44" s="7"/>
      <c r="L44" s="7"/>
      <c r="M44" s="7"/>
    </row>
    <row r="57" spans="7:12" x14ac:dyDescent="0.25">
      <c r="K57" s="5"/>
    </row>
    <row r="58" spans="7:12" x14ac:dyDescent="0.25">
      <c r="G58" s="5"/>
    </row>
    <row r="61" spans="7:12" x14ac:dyDescent="0.25">
      <c r="J61" s="3"/>
      <c r="L61" s="3"/>
    </row>
    <row r="65" spans="7:13" x14ac:dyDescent="0.25">
      <c r="G65" s="5"/>
      <c r="K65" s="5"/>
      <c r="M65" s="5"/>
    </row>
    <row r="68" spans="7:13" x14ac:dyDescent="0.25">
      <c r="J68" s="3"/>
    </row>
    <row r="72" spans="7:13" x14ac:dyDescent="0.25">
      <c r="K72" s="5"/>
    </row>
    <row r="75" spans="7:13" x14ac:dyDescent="0.25">
      <c r="J75" s="3"/>
    </row>
    <row r="79" spans="7:13" x14ac:dyDescent="0.25">
      <c r="K79" s="5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4.xml><?xml version="1.0" encoding="utf-8"?>
<ds:datastoreItem xmlns:ds="http://schemas.openxmlformats.org/officeDocument/2006/customXml" ds:itemID="{E78C79C6-E5CC-4F2D-A2E3-1FF685DFF1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MKudo1BW</vt:lpstr>
      <vt:lpstr>MKudo2BW</vt:lpstr>
      <vt:lpstr>MKemperOral25BW</vt:lpstr>
      <vt:lpstr>MKemperOral1BW</vt:lpstr>
      <vt:lpstr>MKemperOral5BW</vt:lpstr>
      <vt:lpstr>inhal_oral_6hr_1</vt:lpstr>
      <vt:lpstr>inhal_oral_6hr_10</vt:lpstr>
      <vt:lpstr>inhal_oral_6hr_25</vt:lpstr>
      <vt:lpstr>inhal_6hr_1_repeat</vt:lpstr>
      <vt:lpstr>inhal_6hr_10_repeat</vt:lpstr>
      <vt:lpstr>inhal_6hr_25_repeat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2025-12-09T18:46:01Z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MediaServiceImageTags">
    <vt:lpwstr/>
  </property>
  <property fmtid="{D5CDD505-2E9C-101B-9397-08002B2CF9AE}" pid="7" name="EPA_x0020_Subject">
    <vt:lpwstr/>
  </property>
  <property fmtid="{D5CDD505-2E9C-101B-9397-08002B2CF9AE}" pid="8" name="EPA Subject">
    <vt:lpwstr/>
  </property>
</Properties>
</file>