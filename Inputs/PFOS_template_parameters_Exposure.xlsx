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14" documentId="13_ncr:1_{1873D059-A38E-4677-AC8A-EE1BC086520F}" xr6:coauthVersionLast="47" xr6:coauthVersionMax="47" xr10:uidLastSave="{A35BBC5A-281A-4206-9BC5-E940A5077EB4}"/>
  <bookViews>
    <workbookView xWindow="-110" yWindow="-110" windowWidth="19420" windowHeight="10420" xr2:uid="{089E7848-11EB-427A-89EA-83825F220BA0}"/>
  </bookViews>
  <sheets>
    <sheet name="M3MOralBW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1" i="9" l="1"/>
</calcChain>
</file>

<file path=xl/sharedStrings.xml><?xml version="1.0" encoding="utf-8"?>
<sst xmlns="http://schemas.openxmlformats.org/spreadsheetml/2006/main" count="126" uniqueCount="109">
  <si>
    <t>Code</t>
  </si>
  <si>
    <t>Value</t>
  </si>
  <si>
    <t>Units</t>
  </si>
  <si>
    <t>sim.time</t>
  </si>
  <si>
    <t>End Time of Simulation</t>
  </si>
  <si>
    <t>days</t>
  </si>
  <si>
    <t>mass/kg BW</t>
  </si>
  <si>
    <t>Conc_init</t>
  </si>
  <si>
    <t>Inhalation: Initial Concentration</t>
  </si>
  <si>
    <t>ppm</t>
  </si>
  <si>
    <t>NCH</t>
  </si>
  <si>
    <t>Inhalation: Number of Animals in Chamber</t>
  </si>
  <si>
    <t>VCHC</t>
  </si>
  <si>
    <t>Inhalation: Volume of Closed Chamber unadjusted for animal size</t>
  </si>
  <si>
    <t>volume</t>
  </si>
  <si>
    <t>KL</t>
  </si>
  <si>
    <t>Inhalation: Decay Rate of Amount in Chamber</t>
  </si>
  <si>
    <t>1/time</t>
  </si>
  <si>
    <t>Dosing/Scenario Parameter</t>
  </si>
  <si>
    <t>dose_oral</t>
  </si>
  <si>
    <t>Oral: Bolus Dose</t>
  </si>
  <si>
    <t>dose_iv</t>
  </si>
  <si>
    <t>IV: Bolus Dose</t>
  </si>
  <si>
    <t>Inhalation: Periodic: Start Time of Exposure</t>
  </si>
  <si>
    <t>time</t>
  </si>
  <si>
    <t>Model Information</t>
  </si>
  <si>
    <t>Possible Answers</t>
  </si>
  <si>
    <t>Notes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</si>
  <si>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</si>
  <si>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</si>
  <si>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</si>
  <si>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</si>
  <si>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</si>
  <si>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</si>
  <si>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</si>
  <si>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</si>
  <si>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</si>
  <si>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</si>
  <si>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</si>
  <si>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</si>
  <si>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</si>
  <si>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</si>
  <si>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</si>
  <si>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End of File</t>
  </si>
  <si>
    <t>Use the units specified here for the parameters below unless otherwise specified.</t>
  </si>
  <si>
    <t>The model is automatically converted to, run, and output in units of mg, L, h.</t>
  </si>
  <si>
    <t>R_0bgli</t>
  </si>
  <si>
    <t>Zero Order rate of endogenous production in liver</t>
  </si>
  <si>
    <t>C_ven_SS</t>
  </si>
  <si>
    <t>Concentration in venous blood at steady state</t>
  </si>
  <si>
    <t>mg/L</t>
  </si>
  <si>
    <t>Default Value</t>
  </si>
  <si>
    <t>Columns F and further right can be used for notes and will not be used by the model simulation code.</t>
  </si>
  <si>
    <t>T_iv_infuse</t>
  </si>
  <si>
    <t>IV: Infusion Time</t>
  </si>
  <si>
    <t>n.doses_water</t>
  </si>
  <si>
    <t>Drinking Water: Periodic Exposure: Number of Doses per day</t>
  </si>
  <si>
    <t>Drinking Water: Periodic Exposure: Time of first dose each day</t>
  </si>
  <si>
    <t>dose_water</t>
  </si>
  <si>
    <t>Drinking Water: Periodic Exposure: Total dose per day</t>
  </si>
  <si>
    <t>water.equal</t>
  </si>
  <si>
    <t>equal, unequal</t>
  </si>
  <si>
    <t>provide proportions in R script if unequal</t>
  </si>
  <si>
    <t>Inhalation: End time of exposure (single exposure)</t>
  </si>
  <si>
    <t>time.exp.starts</t>
  </si>
  <si>
    <t>length.exp.day</t>
  </si>
  <si>
    <t>Inhalation: Periodic Exposure - length of time exposed per day</t>
  </si>
  <si>
    <t>N.days.exp</t>
  </si>
  <si>
    <t>Inhalation: Periodic Exposure - Number of days per week exposed</t>
  </si>
  <si>
    <t>oral.dose</t>
  </si>
  <si>
    <t>Oral dose?</t>
  </si>
  <si>
    <t>Y or N</t>
  </si>
  <si>
    <t>IV.dose</t>
  </si>
  <si>
    <t>IV dose?</t>
  </si>
  <si>
    <t>inhal.dose</t>
  </si>
  <si>
    <t>Inhalation dose?</t>
  </si>
  <si>
    <t>Water dosing (periodic bolus oral dosing)</t>
  </si>
  <si>
    <t>If water dosing, is the dose assumed equally proportioned over the day?</t>
  </si>
  <si>
    <t>water.dose</t>
  </si>
  <si>
    <t>PFOS</t>
  </si>
  <si>
    <t>rat</t>
  </si>
  <si>
    <t>male</t>
  </si>
  <si>
    <t>ug</t>
  </si>
  <si>
    <t>L</t>
  </si>
  <si>
    <t>h</t>
  </si>
  <si>
    <t>N</t>
  </si>
  <si>
    <t>Y</t>
  </si>
  <si>
    <t>BW_constant</t>
  </si>
  <si>
    <t>Body weight is constant?</t>
  </si>
  <si>
    <t>For non-constant BW, specify table of body weights vs time in R scripts</t>
  </si>
  <si>
    <t>R</t>
  </si>
  <si>
    <t>Ideal Gas Constant at 1 atm</t>
  </si>
  <si>
    <t>1000 L*ppm/Kelvin/mol</t>
  </si>
  <si>
    <t>Temp</t>
  </si>
  <si>
    <t>Temperature</t>
  </si>
  <si>
    <t>Kelvin</t>
  </si>
  <si>
    <t>default is 25 deg C</t>
  </si>
  <si>
    <t>RTemp</t>
  </si>
  <si>
    <t>Ideal Gas Constant (R) times Temperature (in Kelvin)*</t>
  </si>
  <si>
    <t>1000 L*ppm/mol</t>
  </si>
  <si>
    <t>This should be R*Temp: This quantity divides the molecular weight to obtain a conversation factor that takes a concentration of chemical from units of ppm to units of mg/L.</t>
  </si>
  <si>
    <t>BW</t>
  </si>
  <si>
    <t>Body Mass</t>
  </si>
  <si>
    <t>kg</t>
  </si>
  <si>
    <t>t.first.dose_water</t>
  </si>
  <si>
    <t>h (24 hour clock)</t>
  </si>
  <si>
    <t>t.final.dose_water</t>
  </si>
  <si>
    <t>Drinking Water: Periodic Exposure: Time of final dose each day</t>
  </si>
  <si>
    <t>inh.stop.time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</si>
</sst>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AAA3-4823-45FD-8570-D25DAB8AD8C8}">
  <dimension ref="A1:F39"/>
  <sheetViews>
    <sheetView tabSelected="1" topLeftCell="A19" workbookViewId="0">
      <selection activeCell="A29" sqref="A29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E2" t="s">
        <v>79</v>
      </c>
      <c r="F2" t="s">
        <v>52</v>
      </c>
    </row>
    <row r="3" spans="1:6" x14ac:dyDescent="0.35">
      <c r="A3" s="1" t="s">
        <v>30</v>
      </c>
      <c r="B3" t="s">
        <v>31</v>
      </c>
      <c r="E3" t="s">
        <v>80</v>
      </c>
    </row>
    <row r="4" spans="1:6" x14ac:dyDescent="0.35">
      <c r="A4" s="1" t="s">
        <v>32</v>
      </c>
      <c r="B4" t="s">
        <v>33</v>
      </c>
      <c r="E4" t="s">
        <v>81</v>
      </c>
    </row>
    <row r="5" spans="1:6" x14ac:dyDescent="0.35">
      <c r="A5" s="1" t="s">
        <v>34</v>
      </c>
      <c r="B5" t="s">
        <v>35</v>
      </c>
      <c r="C5" t="s">
        <v>36</v>
      </c>
      <c r="E5" t="s">
        <v>82</v>
      </c>
      <c r="F5" t="s">
        <v>44</v>
      </c>
    </row>
    <row r="6" spans="1:6" x14ac:dyDescent="0.3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35">
      <c r="A7" s="1" t="s">
        <v>40</v>
      </c>
      <c r="B7" t="s">
        <v>41</v>
      </c>
      <c r="C7" t="s">
        <v>42</v>
      </c>
      <c r="E7" t="s">
        <v>84</v>
      </c>
    </row>
    <row r="8" spans="1:6" x14ac:dyDescent="0.35">
      <c r="A8" s="1" t="s">
        <v>87</v>
      </c>
      <c r="B8" t="s">
        <v>88</v>
      </c>
      <c r="C8" t="s">
        <v>71</v>
      </c>
      <c r="E8" t="s">
        <v>85</v>
      </c>
      <c r="F8" t="s">
        <v>89</v>
      </c>
    </row>
    <row r="9" spans="1:6" x14ac:dyDescent="0.35">
      <c r="A9" s="1" t="s">
        <v>78</v>
      </c>
      <c r="B9" t="s">
        <v>76</v>
      </c>
      <c r="C9" t="s">
        <v>71</v>
      </c>
      <c r="E9" t="s">
        <v>85</v>
      </c>
    </row>
    <row r="10" spans="1:6" x14ac:dyDescent="0.35">
      <c r="A10" s="1" t="s">
        <v>60</v>
      </c>
      <c r="B10" t="s">
        <v>77</v>
      </c>
      <c r="C10" t="s">
        <v>61</v>
      </c>
      <c r="F10" t="s">
        <v>62</v>
      </c>
    </row>
    <row r="11" spans="1:6" x14ac:dyDescent="0.35">
      <c r="A11" s="1" t="s">
        <v>69</v>
      </c>
      <c r="B11" t="s">
        <v>70</v>
      </c>
      <c r="C11" t="s">
        <v>71</v>
      </c>
      <c r="E11" t="s">
        <v>86</v>
      </c>
    </row>
    <row r="12" spans="1:6" x14ac:dyDescent="0.35">
      <c r="A12" s="1" t="s">
        <v>72</v>
      </c>
      <c r="B12" t="s">
        <v>73</v>
      </c>
      <c r="C12" t="s">
        <v>71</v>
      </c>
      <c r="E12" t="s">
        <v>85</v>
      </c>
    </row>
    <row r="13" spans="1:6" x14ac:dyDescent="0.35">
      <c r="A13" s="1" t="s">
        <v>74</v>
      </c>
      <c r="B13" t="s">
        <v>75</v>
      </c>
      <c r="C13" t="s">
        <v>71</v>
      </c>
      <c r="E13" t="s">
        <v>85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35">
      <c r="A16" s="1" t="s">
        <v>3</v>
      </c>
      <c r="B16" t="s">
        <v>4</v>
      </c>
      <c r="C16" t="s">
        <v>5</v>
      </c>
      <c r="E16">
        <v>120</v>
      </c>
    </row>
    <row r="17" spans="1:6" x14ac:dyDescent="0.35">
      <c r="A17" s="1" t="s">
        <v>90</v>
      </c>
      <c r="B17" t="s">
        <v>91</v>
      </c>
      <c r="C17" t="s">
        <v>92</v>
      </c>
      <c r="D17">
        <v>82.057366080959994</v>
      </c>
    </row>
    <row r="18" spans="1:6" x14ac:dyDescent="0.35">
      <c r="A18" s="1" t="s">
        <v>93</v>
      </c>
      <c r="B18" t="s">
        <v>94</v>
      </c>
      <c r="C18" t="s">
        <v>95</v>
      </c>
      <c r="D18">
        <v>298</v>
      </c>
      <c r="F18" t="s">
        <v>96</v>
      </c>
    </row>
    <row r="19" spans="1:6" x14ac:dyDescent="0.35">
      <c r="A19" s="1" t="s">
        <v>97</v>
      </c>
      <c r="B19" t="s">
        <v>98</v>
      </c>
      <c r="C19" t="s">
        <v>99</v>
      </c>
      <c r="D19">
        <v>24450</v>
      </c>
      <c r="F19" t="s">
        <v>100</v>
      </c>
    </row>
    <row r="20" spans="1:6" x14ac:dyDescent="0.35">
      <c r="A20" s="1" t="s">
        <v>101</v>
      </c>
      <c r="B20" t="s">
        <v>102</v>
      </c>
      <c r="C20" t="s">
        <v>103</v>
      </c>
      <c r="D20">
        <v>0</v>
      </c>
      <c r="E20">
        <v>0.23300000000000001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  <c r="E21">
        <f>F21*1000</f>
        <v>15000</v>
      </c>
      <c r="F21">
        <v>15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53</v>
      </c>
      <c r="B23" t="s">
        <v>54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108</v>
      </c>
      <c r="B28" t="s">
        <v>63</v>
      </c>
      <c r="C28" t="s">
        <v>24</v>
      </c>
    </row>
    <row r="29" spans="1:6" x14ac:dyDescent="0.35">
      <c r="A29" s="1" t="s">
        <v>64</v>
      </c>
      <c r="B29" t="s">
        <v>23</v>
      </c>
      <c r="C29" t="s">
        <v>24</v>
      </c>
    </row>
    <row r="30" spans="1:6" x14ac:dyDescent="0.35">
      <c r="A30" s="1" t="s">
        <v>65</v>
      </c>
      <c r="B30" t="s">
        <v>66</v>
      </c>
      <c r="C30" t="s">
        <v>24</v>
      </c>
    </row>
    <row r="31" spans="1:6" x14ac:dyDescent="0.35">
      <c r="A31" s="1" t="s">
        <v>67</v>
      </c>
      <c r="B31" t="s">
        <v>68</v>
      </c>
    </row>
    <row r="32" spans="1:6" x14ac:dyDescent="0.35">
      <c r="A32" s="1" t="s">
        <v>46</v>
      </c>
      <c r="B32" t="s">
        <v>47</v>
      </c>
      <c r="D32">
        <v>0</v>
      </c>
    </row>
    <row r="33" spans="1:5" x14ac:dyDescent="0.35">
      <c r="A33" s="1" t="s">
        <v>48</v>
      </c>
      <c r="B33" t="s">
        <v>49</v>
      </c>
      <c r="C33" t="s">
        <v>50</v>
      </c>
    </row>
    <row r="34" spans="1:5" x14ac:dyDescent="0.35">
      <c r="A34" s="1" t="s">
        <v>55</v>
      </c>
      <c r="B34" t="s">
        <v>56</v>
      </c>
    </row>
    <row r="35" spans="1:5" x14ac:dyDescent="0.35">
      <c r="A35" s="1" t="s">
        <v>104</v>
      </c>
      <c r="B35" t="s">
        <v>57</v>
      </c>
      <c r="C35" t="s">
        <v>105</v>
      </c>
    </row>
    <row r="36" spans="1:5" x14ac:dyDescent="0.35">
      <c r="A36" s="1" t="s">
        <v>106</v>
      </c>
      <c r="B36" t="s">
        <v>107</v>
      </c>
      <c r="C36" t="s">
        <v>105</v>
      </c>
    </row>
    <row r="37" spans="1:5" x14ac:dyDescent="0.35">
      <c r="A37" s="1" t="s">
        <v>58</v>
      </c>
      <c r="B37" t="s">
        <v>59</v>
      </c>
      <c r="C37" t="s">
        <v>6</v>
      </c>
    </row>
    <row r="39" spans="1:5" x14ac:dyDescent="0.3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10425D87-657F-49AC-9919-02AB5ADFAAF7}"/>
</file>

<file path=customXml/itemProps3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M3MOralBW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2022-09-20T18:54:02Z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</Properties>
</file>