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bernstein_amanda_epa_gov/Documents/Documents/PKWG_models/pbpk_template_project/Inputs/"/>
    </mc:Choice>
  </mc:AlternateContent>
  <xr:revisionPtr revIDLastSave="435" documentId="8_{D031EE4F-1494-41E6-A9B6-B336235EFD1E}" xr6:coauthVersionLast="47" xr6:coauthVersionMax="47" xr10:uidLastSave="{372B6FE9-4F2A-4A4C-B969-64E0CA33C61F}"/>
  <bookViews>
    <workbookView xWindow="-110" yWindow="-110" windowWidth="19420" windowHeight="10420" tabRatio="898" xr2:uid="{089E7848-11EB-427A-89EA-83825F220BA0}"/>
  </bookViews>
  <sheets>
    <sheet name="Oral_Periodic_IRIS_T5.11" sheetId="21" r:id="rId1"/>
    <sheet name="Oral_Periodic_IRIS_T5.1" sheetId="22" r:id="rId2"/>
    <sheet name="Inh_Closed_IRIS_FigC3" sheetId="2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16" i="23" l="1"/>
</calcChain>
</file>

<file path=xl/sharedStrings.xml><?xml version="1.0" encoding="utf-8"?>
<sst xmlns="http://schemas.openxmlformats.org/spreadsheetml/2006/main" count="384" uniqueCount="113">
  <si>
    <t>Code</t>
  </si>
  <si>
    <t>Value</t>
  </si>
  <si>
    <t>Units</t>
  </si>
  <si>
    <t>sim.time</t>
  </si>
  <si>
    <t>End Time of Simulation</t>
  </si>
  <si>
    <t>days</t>
  </si>
  <si>
    <t>mass/kg BW</t>
  </si>
  <si>
    <t>Conc_init</t>
  </si>
  <si>
    <t>Inhalation: Initial Concentration</t>
  </si>
  <si>
    <t>ppm</t>
  </si>
  <si>
    <t>NCH</t>
  </si>
  <si>
    <t>Inhalation: Number of Animals in Chamber</t>
  </si>
  <si>
    <t>VCHC</t>
  </si>
  <si>
    <t>Inhalation: Volume of Closed Chamber unadjusted for animal size</t>
  </si>
  <si>
    <t>volume</t>
  </si>
  <si>
    <t>KL</t>
  </si>
  <si>
    <t>Inhalation: Decay Rate of Amount in Chamber</t>
  </si>
  <si>
    <t>1/time</t>
  </si>
  <si>
    <t>Dosing/Scenario Parameter</t>
  </si>
  <si>
    <t>dose_oral</t>
  </si>
  <si>
    <t>Oral: Bolus Dose</t>
  </si>
  <si>
    <t>dose_iv</t>
  </si>
  <si>
    <t>IV: Bolus Dose</t>
  </si>
  <si>
    <t>Inhalation: Periodic: Start Time of Exposure</t>
  </si>
  <si>
    <t>time</t>
  </si>
  <si>
    <t>Model Information</t>
  </si>
  <si>
    <t>Possible Answers</t>
  </si>
  <si>
    <t>Notes</t>
  </si>
  <si>
    <t>chem.name</t>
  </si>
  <si>
    <t>Chemical Name</t>
  </si>
  <si>
    <t>DCM</t>
  </si>
  <si>
    <t>species</t>
  </si>
  <si>
    <t>Species</t>
  </si>
  <si>
    <t>rat</t>
  </si>
  <si>
    <t>sex</t>
  </si>
  <si>
    <t>Sex</t>
  </si>
  <si>
    <t>male</t>
  </si>
  <si>
    <t>M.units</t>
  </si>
  <si>
    <t>Mass units</t>
  </si>
  <si>
    <t>mg, ug, ng</t>
  </si>
  <si>
    <t>mg</t>
  </si>
  <si>
    <t>V.units</t>
  </si>
  <si>
    <t>Volume units</t>
  </si>
  <si>
    <t>mL, L</t>
  </si>
  <si>
    <t>L</t>
  </si>
  <si>
    <t>T.units</t>
  </si>
  <si>
    <t>Time units</t>
  </si>
  <si>
    <t>min, h, days</t>
  </si>
  <si>
    <t>h</t>
  </si>
  <si>
    <t>End of File</t>
  </si>
  <si>
    <t>hours</t>
  </si>
  <si>
    <t>Drinking Water: Periodic Exposure: Number of Doses per day</t>
  </si>
  <si>
    <t>n.doses_water</t>
  </si>
  <si>
    <t>Drinking Water: Periodic Exposure: Time of first dose each day</t>
  </si>
  <si>
    <t>dose_water</t>
  </si>
  <si>
    <t>Drinking Water: Periodic Exposure: Total dose per day</t>
  </si>
  <si>
    <t>mouse</t>
  </si>
  <si>
    <t>time.exp.starts</t>
  </si>
  <si>
    <t>length.exp.day</t>
  </si>
  <si>
    <t>Inhalation: Periodic Exposure - length of time exposed per day</t>
  </si>
  <si>
    <t>N.days.exp</t>
  </si>
  <si>
    <t>Inhalation: Periodic Exposure - Number of days per week exposed</t>
  </si>
  <si>
    <t>equal, unequal</t>
  </si>
  <si>
    <t>unequal</t>
  </si>
  <si>
    <t>water.equal</t>
  </si>
  <si>
    <t>Default Value</t>
  </si>
  <si>
    <t>Columns F and further right can be used for notes and will not be used by the model simulation code.</t>
  </si>
  <si>
    <t>Use the units specified here for the parameters below unless otherwise specified.</t>
  </si>
  <si>
    <t>The model is automatically converted to, run, and output in units of mg, L, h.</t>
  </si>
  <si>
    <t>provide proportions in R script if unequal</t>
  </si>
  <si>
    <t>T_iv_infuse</t>
  </si>
  <si>
    <t>IV: Infusion Time</t>
  </si>
  <si>
    <t>Inhalation: End time of exposure (single exposure)</t>
  </si>
  <si>
    <t>R_0bgli</t>
  </si>
  <si>
    <t>Zero Order rate of endogenous production in liver</t>
  </si>
  <si>
    <t>C_ven_SS</t>
  </si>
  <si>
    <t>Concentration in venous blood at steady state</t>
  </si>
  <si>
    <t>mg/L</t>
  </si>
  <si>
    <t>Values from Paper</t>
  </si>
  <si>
    <t>Water dosing (periodic bolus oral dosing)</t>
  </si>
  <si>
    <t>If water dosing, is the dose assumed equally proportioned over the day?</t>
  </si>
  <si>
    <t>oral.dose</t>
  </si>
  <si>
    <t>Oral dose?</t>
  </si>
  <si>
    <t>Y or N</t>
  </si>
  <si>
    <t>IV.dose</t>
  </si>
  <si>
    <t>IV dose?</t>
  </si>
  <si>
    <t>inhal.dose</t>
  </si>
  <si>
    <t>Inhalation dose?</t>
  </si>
  <si>
    <t>N</t>
  </si>
  <si>
    <t>Y</t>
  </si>
  <si>
    <t>water.dose</t>
  </si>
  <si>
    <t>BW_constant</t>
  </si>
  <si>
    <t>Body weight is constant?</t>
  </si>
  <si>
    <t>For non-constant BW, specify table of body weights vs time in R scripts</t>
  </si>
  <si>
    <t>BW</t>
  </si>
  <si>
    <t>Body Mass</t>
  </si>
  <si>
    <t>kg</t>
  </si>
  <si>
    <t>R</t>
  </si>
  <si>
    <t>Ideal Gas Constant at 1 atm</t>
  </si>
  <si>
    <t>1000 L*ppm/Kelvin/mol</t>
  </si>
  <si>
    <t>Temp</t>
  </si>
  <si>
    <t>Temperature</t>
  </si>
  <si>
    <t>Kelvin</t>
  </si>
  <si>
    <t>default is 25 deg C</t>
  </si>
  <si>
    <t>RTemp</t>
  </si>
  <si>
    <t>Ideal Gas Constant (R) times Temperature (in Kelvin)*</t>
  </si>
  <si>
    <t>1000 L*ppm/mol</t>
  </si>
  <si>
    <t>*This quantity divides the molecular weight to obtain a conversation factor that takes a concentration of chemical from units of ppm to units of mg/L.</t>
  </si>
  <si>
    <t>t.first.dose_water</t>
  </si>
  <si>
    <t>h (24 hour clock)</t>
  </si>
  <si>
    <t>t.final.dose_water</t>
  </si>
  <si>
    <t>Drinking Water: Periodic Exposure: Time of final dose each day</t>
  </si>
  <si>
    <t>inh.stop.time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</si>
</sst>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3516F-45C8-46D8-8E54-4E21A32089D5}">
  <dimension ref="A1:F39"/>
  <sheetViews>
    <sheetView tabSelected="1" topLeftCell="A19" workbookViewId="0">
      <selection activeCell="A28" sqref="A28"/>
    </sheetView>
  </sheetViews>
  <sheetFormatPr defaultRowHeight="14.5" x14ac:dyDescent="0.35"/>
  <cols>
    <col min="1" max="1" width="13.7265625" style="1" bestFit="1" customWidth="1"/>
    <col min="2" max="2" width="45.6328125" customWidth="1"/>
    <col min="3" max="3" width="15.7265625" bestFit="1" customWidth="1"/>
    <col min="4" max="4" width="14.54296875" customWidth="1"/>
    <col min="5" max="5" width="22.26953125" bestFit="1" customWidth="1"/>
    <col min="6" max="6" width="19.26953125" bestFit="1" customWidth="1"/>
    <col min="7" max="7" width="12.453125" bestFit="1" customWidth="1"/>
    <col min="8" max="8" width="17.54296875" bestFit="1" customWidth="1"/>
    <col min="9" max="9" width="6" bestFit="1" customWidth="1"/>
    <col min="10" max="10" width="13.54296875" customWidth="1"/>
  </cols>
  <sheetData>
    <row r="1" spans="1:6" x14ac:dyDescent="0.35">
      <c r="A1" s="1" t="s">
        <v>0</v>
      </c>
      <c r="B1" s="1" t="s">
        <v>25</v>
      </c>
      <c r="C1" s="1" t="s">
        <v>26</v>
      </c>
      <c r="D1" s="1" t="s">
        <v>65</v>
      </c>
      <c r="E1" s="1" t="s">
        <v>1</v>
      </c>
      <c r="F1" s="1" t="s">
        <v>27</v>
      </c>
    </row>
    <row r="2" spans="1:6" x14ac:dyDescent="0.35">
      <c r="A2" s="1" t="s">
        <v>28</v>
      </c>
      <c r="B2" t="s">
        <v>29</v>
      </c>
      <c r="E2" t="s">
        <v>30</v>
      </c>
      <c r="F2" t="s">
        <v>66</v>
      </c>
    </row>
    <row r="3" spans="1:6" x14ac:dyDescent="0.35">
      <c r="A3" s="1" t="s">
        <v>31</v>
      </c>
      <c r="B3" t="s">
        <v>32</v>
      </c>
      <c r="E3" t="s">
        <v>56</v>
      </c>
    </row>
    <row r="4" spans="1:6" x14ac:dyDescent="0.35">
      <c r="A4" s="1" t="s">
        <v>34</v>
      </c>
      <c r="B4" t="s">
        <v>35</v>
      </c>
      <c r="E4" t="s">
        <v>36</v>
      </c>
    </row>
    <row r="5" spans="1:6" x14ac:dyDescent="0.35">
      <c r="A5" s="1" t="s">
        <v>37</v>
      </c>
      <c r="B5" t="s">
        <v>38</v>
      </c>
      <c r="C5" t="s">
        <v>39</v>
      </c>
      <c r="E5" t="s">
        <v>40</v>
      </c>
      <c r="F5" t="s">
        <v>67</v>
      </c>
    </row>
    <row r="6" spans="1:6" x14ac:dyDescent="0.35">
      <c r="A6" s="1" t="s">
        <v>41</v>
      </c>
      <c r="B6" t="s">
        <v>42</v>
      </c>
      <c r="C6" t="s">
        <v>43</v>
      </c>
      <c r="E6" t="s">
        <v>44</v>
      </c>
      <c r="F6" t="s">
        <v>68</v>
      </c>
    </row>
    <row r="7" spans="1:6" x14ac:dyDescent="0.35">
      <c r="A7" s="1" t="s">
        <v>45</v>
      </c>
      <c r="B7" t="s">
        <v>46</v>
      </c>
      <c r="C7" t="s">
        <v>47</v>
      </c>
      <c r="E7" t="s">
        <v>48</v>
      </c>
    </row>
    <row r="8" spans="1:6" x14ac:dyDescent="0.35">
      <c r="A8" s="1" t="s">
        <v>91</v>
      </c>
      <c r="B8" t="s">
        <v>92</v>
      </c>
      <c r="C8" t="s">
        <v>83</v>
      </c>
      <c r="E8" t="s">
        <v>89</v>
      </c>
      <c r="F8" t="s">
        <v>93</v>
      </c>
    </row>
    <row r="9" spans="1:6" x14ac:dyDescent="0.35">
      <c r="A9" s="1" t="s">
        <v>90</v>
      </c>
      <c r="B9" t="s">
        <v>79</v>
      </c>
      <c r="C9" t="s">
        <v>83</v>
      </c>
      <c r="E9" t="s">
        <v>89</v>
      </c>
    </row>
    <row r="10" spans="1:6" x14ac:dyDescent="0.35">
      <c r="A10" s="1" t="s">
        <v>64</v>
      </c>
      <c r="B10" t="s">
        <v>80</v>
      </c>
      <c r="C10" t="s">
        <v>62</v>
      </c>
      <c r="E10" t="s">
        <v>63</v>
      </c>
      <c r="F10" t="s">
        <v>69</v>
      </c>
    </row>
    <row r="11" spans="1:6" x14ac:dyDescent="0.35">
      <c r="A11" s="1" t="s">
        <v>81</v>
      </c>
      <c r="B11" t="s">
        <v>82</v>
      </c>
      <c r="C11" t="s">
        <v>83</v>
      </c>
      <c r="E11" t="s">
        <v>88</v>
      </c>
    </row>
    <row r="12" spans="1:6" x14ac:dyDescent="0.35">
      <c r="A12" s="1" t="s">
        <v>84</v>
      </c>
      <c r="B12" t="s">
        <v>85</v>
      </c>
      <c r="C12" t="s">
        <v>83</v>
      </c>
      <c r="E12" t="s">
        <v>88</v>
      </c>
    </row>
    <row r="13" spans="1:6" x14ac:dyDescent="0.35">
      <c r="A13" s="1" t="s">
        <v>86</v>
      </c>
      <c r="B13" t="s">
        <v>87</v>
      </c>
      <c r="C13" t="s">
        <v>83</v>
      </c>
      <c r="E13" t="s">
        <v>88</v>
      </c>
    </row>
    <row r="15" spans="1:6" x14ac:dyDescent="0.35">
      <c r="A15" s="1" t="s">
        <v>0</v>
      </c>
      <c r="B15" s="1" t="s">
        <v>18</v>
      </c>
      <c r="C15" s="1" t="s">
        <v>2</v>
      </c>
      <c r="D15" s="1" t="s">
        <v>65</v>
      </c>
      <c r="E15" s="1" t="s">
        <v>1</v>
      </c>
      <c r="F15" s="2" t="s">
        <v>78</v>
      </c>
    </row>
    <row r="16" spans="1:6" x14ac:dyDescent="0.35">
      <c r="A16" s="1" t="s">
        <v>3</v>
      </c>
      <c r="B16" t="s">
        <v>4</v>
      </c>
      <c r="C16" t="s">
        <v>5</v>
      </c>
      <c r="E16">
        <v>14</v>
      </c>
    </row>
    <row r="17" spans="1:6" x14ac:dyDescent="0.35">
      <c r="A17" s="1" t="s">
        <v>94</v>
      </c>
      <c r="B17" t="s">
        <v>95</v>
      </c>
      <c r="C17" t="s">
        <v>96</v>
      </c>
      <c r="D17">
        <v>0</v>
      </c>
      <c r="E17">
        <v>3.73E-2</v>
      </c>
    </row>
    <row r="18" spans="1:6" x14ac:dyDescent="0.35">
      <c r="A18" s="1" t="s">
        <v>97</v>
      </c>
      <c r="B18" t="s">
        <v>98</v>
      </c>
      <c r="C18" t="s">
        <v>99</v>
      </c>
      <c r="D18">
        <v>82.057366080959994</v>
      </c>
    </row>
    <row r="19" spans="1:6" x14ac:dyDescent="0.35">
      <c r="A19" s="1" t="s">
        <v>100</v>
      </c>
      <c r="B19" t="s">
        <v>101</v>
      </c>
      <c r="C19" t="s">
        <v>102</v>
      </c>
      <c r="D19">
        <v>298</v>
      </c>
      <c r="F19" t="s">
        <v>103</v>
      </c>
    </row>
    <row r="20" spans="1:6" x14ac:dyDescent="0.35">
      <c r="A20" s="1" t="s">
        <v>104</v>
      </c>
      <c r="B20" t="s">
        <v>105</v>
      </c>
      <c r="C20" t="s">
        <v>106</v>
      </c>
      <c r="D20">
        <v>24450</v>
      </c>
      <c r="E20">
        <v>24450</v>
      </c>
      <c r="F20" t="s">
        <v>107</v>
      </c>
    </row>
    <row r="21" spans="1:6" x14ac:dyDescent="0.35">
      <c r="A21" s="1" t="s">
        <v>19</v>
      </c>
      <c r="B21" t="s">
        <v>20</v>
      </c>
      <c r="C21" t="s">
        <v>6</v>
      </c>
      <c r="D21">
        <v>0</v>
      </c>
    </row>
    <row r="22" spans="1:6" x14ac:dyDescent="0.35">
      <c r="A22" s="1" t="s">
        <v>21</v>
      </c>
      <c r="B22" t="s">
        <v>22</v>
      </c>
      <c r="C22" t="s">
        <v>6</v>
      </c>
      <c r="D22">
        <v>0</v>
      </c>
    </row>
    <row r="23" spans="1:6" x14ac:dyDescent="0.35">
      <c r="A23" s="1" t="s">
        <v>70</v>
      </c>
      <c r="B23" t="s">
        <v>71</v>
      </c>
      <c r="C23" t="s">
        <v>24</v>
      </c>
    </row>
    <row r="24" spans="1:6" x14ac:dyDescent="0.35">
      <c r="A24" s="1" t="s">
        <v>7</v>
      </c>
      <c r="B24" t="s">
        <v>8</v>
      </c>
      <c r="C24" t="s">
        <v>9</v>
      </c>
      <c r="D24">
        <v>0</v>
      </c>
    </row>
    <row r="25" spans="1:6" x14ac:dyDescent="0.35">
      <c r="A25" s="1" t="s">
        <v>10</v>
      </c>
      <c r="B25" t="s">
        <v>11</v>
      </c>
      <c r="D25">
        <v>0</v>
      </c>
    </row>
    <row r="26" spans="1:6" x14ac:dyDescent="0.35">
      <c r="A26" s="1" t="s">
        <v>12</v>
      </c>
      <c r="B26" t="s">
        <v>13</v>
      </c>
      <c r="C26" t="s">
        <v>14</v>
      </c>
      <c r="D26">
        <v>0</v>
      </c>
    </row>
    <row r="27" spans="1:6" x14ac:dyDescent="0.35">
      <c r="A27" s="1" t="s">
        <v>15</v>
      </c>
      <c r="B27" t="s">
        <v>16</v>
      </c>
      <c r="C27" t="s">
        <v>17</v>
      </c>
      <c r="D27">
        <v>0</v>
      </c>
    </row>
    <row r="28" spans="1:6" x14ac:dyDescent="0.35">
      <c r="A28" s="1" t="s">
        <v>112</v>
      </c>
      <c r="B28" t="s">
        <v>72</v>
      </c>
      <c r="C28" t="s">
        <v>24</v>
      </c>
    </row>
    <row r="29" spans="1:6" x14ac:dyDescent="0.35">
      <c r="A29" s="1" t="s">
        <v>57</v>
      </c>
      <c r="B29" t="s">
        <v>23</v>
      </c>
      <c r="C29" t="s">
        <v>24</v>
      </c>
    </row>
    <row r="30" spans="1:6" x14ac:dyDescent="0.35">
      <c r="A30" s="1" t="s">
        <v>58</v>
      </c>
      <c r="B30" t="s">
        <v>59</v>
      </c>
      <c r="C30" t="s">
        <v>24</v>
      </c>
    </row>
    <row r="31" spans="1:6" x14ac:dyDescent="0.35">
      <c r="A31" s="1" t="s">
        <v>60</v>
      </c>
      <c r="B31" t="s">
        <v>61</v>
      </c>
    </row>
    <row r="32" spans="1:6" x14ac:dyDescent="0.35">
      <c r="A32" s="1" t="s">
        <v>73</v>
      </c>
      <c r="B32" t="s">
        <v>74</v>
      </c>
      <c r="D32">
        <v>0</v>
      </c>
    </row>
    <row r="33" spans="1:5" x14ac:dyDescent="0.35">
      <c r="A33" s="1" t="s">
        <v>75</v>
      </c>
      <c r="B33" t="s">
        <v>76</v>
      </c>
      <c r="C33" t="s">
        <v>77</v>
      </c>
    </row>
    <row r="34" spans="1:5" x14ac:dyDescent="0.35">
      <c r="A34" s="1" t="s">
        <v>52</v>
      </c>
      <c r="B34" t="s">
        <v>51</v>
      </c>
      <c r="E34">
        <v>6</v>
      </c>
    </row>
    <row r="35" spans="1:5" x14ac:dyDescent="0.35">
      <c r="A35" s="1" t="s">
        <v>108</v>
      </c>
      <c r="B35" t="s">
        <v>53</v>
      </c>
      <c r="C35" t="s">
        <v>109</v>
      </c>
      <c r="E35">
        <v>0</v>
      </c>
    </row>
    <row r="36" spans="1:5" x14ac:dyDescent="0.35">
      <c r="A36" s="1" t="s">
        <v>110</v>
      </c>
      <c r="B36" t="s">
        <v>111</v>
      </c>
      <c r="C36" t="s">
        <v>109</v>
      </c>
      <c r="E36">
        <v>20</v>
      </c>
    </row>
    <row r="37" spans="1:5" x14ac:dyDescent="0.35">
      <c r="A37" s="1" t="s">
        <v>54</v>
      </c>
      <c r="B37" t="s">
        <v>55</v>
      </c>
      <c r="C37" t="s">
        <v>6</v>
      </c>
      <c r="E37">
        <v>234</v>
      </c>
    </row>
    <row r="39" spans="1:5" x14ac:dyDescent="0.35">
      <c r="A39" s="1" t="s">
        <v>0</v>
      </c>
      <c r="B39" s="1" t="s">
        <v>49</v>
      </c>
      <c r="C39" s="1"/>
      <c r="D39" s="1"/>
      <c r="E39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4E964-FA9C-4F3B-9612-A21B90CC08C4}">
  <dimension ref="A1:F39"/>
  <sheetViews>
    <sheetView topLeftCell="A10" workbookViewId="0">
      <selection activeCell="A28" sqref="A28"/>
    </sheetView>
  </sheetViews>
  <sheetFormatPr defaultRowHeight="14.5" x14ac:dyDescent="0.35"/>
  <cols>
    <col min="1" max="1" width="13.7265625" style="1" bestFit="1" customWidth="1"/>
    <col min="2" max="2" width="45.6328125" customWidth="1"/>
    <col min="3" max="3" width="15.7265625" bestFit="1" customWidth="1"/>
    <col min="4" max="4" width="14.54296875" customWidth="1"/>
    <col min="5" max="5" width="22.26953125" bestFit="1" customWidth="1"/>
    <col min="6" max="6" width="19.26953125" bestFit="1" customWidth="1"/>
    <col min="7" max="7" width="12.453125" bestFit="1" customWidth="1"/>
    <col min="8" max="8" width="17.54296875" bestFit="1" customWidth="1"/>
    <col min="9" max="9" width="6" bestFit="1" customWidth="1"/>
    <col min="10" max="10" width="13.54296875" customWidth="1"/>
  </cols>
  <sheetData>
    <row r="1" spans="1:6" x14ac:dyDescent="0.35">
      <c r="A1" s="1" t="s">
        <v>0</v>
      </c>
      <c r="B1" s="1" t="s">
        <v>25</v>
      </c>
      <c r="C1" s="1" t="s">
        <v>26</v>
      </c>
      <c r="D1" s="1" t="s">
        <v>65</v>
      </c>
      <c r="E1" s="1" t="s">
        <v>1</v>
      </c>
      <c r="F1" s="1" t="s">
        <v>27</v>
      </c>
    </row>
    <row r="2" spans="1:6" x14ac:dyDescent="0.35">
      <c r="A2" s="1" t="s">
        <v>28</v>
      </c>
      <c r="B2" t="s">
        <v>29</v>
      </c>
      <c r="E2" t="s">
        <v>30</v>
      </c>
      <c r="F2" t="s">
        <v>66</v>
      </c>
    </row>
    <row r="3" spans="1:6" x14ac:dyDescent="0.35">
      <c r="A3" s="1" t="s">
        <v>31</v>
      </c>
      <c r="B3" t="s">
        <v>32</v>
      </c>
      <c r="E3" t="s">
        <v>33</v>
      </c>
    </row>
    <row r="4" spans="1:6" x14ac:dyDescent="0.35">
      <c r="A4" s="1" t="s">
        <v>34</v>
      </c>
      <c r="B4" t="s">
        <v>35</v>
      </c>
      <c r="E4" t="s">
        <v>36</v>
      </c>
    </row>
    <row r="5" spans="1:6" x14ac:dyDescent="0.35">
      <c r="A5" s="1" t="s">
        <v>37</v>
      </c>
      <c r="B5" t="s">
        <v>38</v>
      </c>
      <c r="C5" t="s">
        <v>39</v>
      </c>
      <c r="E5" t="s">
        <v>40</v>
      </c>
      <c r="F5" t="s">
        <v>67</v>
      </c>
    </row>
    <row r="6" spans="1:6" x14ac:dyDescent="0.35">
      <c r="A6" s="1" t="s">
        <v>41</v>
      </c>
      <c r="B6" t="s">
        <v>42</v>
      </c>
      <c r="C6" t="s">
        <v>43</v>
      </c>
      <c r="E6" t="s">
        <v>44</v>
      </c>
      <c r="F6" t="s">
        <v>68</v>
      </c>
    </row>
    <row r="7" spans="1:6" x14ac:dyDescent="0.35">
      <c r="A7" s="1" t="s">
        <v>45</v>
      </c>
      <c r="B7" t="s">
        <v>46</v>
      </c>
      <c r="C7" t="s">
        <v>47</v>
      </c>
      <c r="E7" t="s">
        <v>48</v>
      </c>
    </row>
    <row r="8" spans="1:6" x14ac:dyDescent="0.35">
      <c r="A8" s="1" t="s">
        <v>91</v>
      </c>
      <c r="B8" t="s">
        <v>92</v>
      </c>
      <c r="C8" t="s">
        <v>83</v>
      </c>
      <c r="E8" t="s">
        <v>89</v>
      </c>
      <c r="F8" t="s">
        <v>93</v>
      </c>
    </row>
    <row r="9" spans="1:6" x14ac:dyDescent="0.35">
      <c r="A9" s="1" t="s">
        <v>90</v>
      </c>
      <c r="B9" t="s">
        <v>79</v>
      </c>
      <c r="C9" t="s">
        <v>83</v>
      </c>
      <c r="E9" t="s">
        <v>89</v>
      </c>
    </row>
    <row r="10" spans="1:6" x14ac:dyDescent="0.35">
      <c r="A10" s="1" t="s">
        <v>64</v>
      </c>
      <c r="B10" t="s">
        <v>80</v>
      </c>
      <c r="C10" t="s">
        <v>62</v>
      </c>
      <c r="E10" t="s">
        <v>63</v>
      </c>
      <c r="F10" t="s">
        <v>69</v>
      </c>
    </row>
    <row r="11" spans="1:6" x14ac:dyDescent="0.35">
      <c r="A11" s="1" t="s">
        <v>81</v>
      </c>
      <c r="B11" t="s">
        <v>82</v>
      </c>
      <c r="C11" t="s">
        <v>83</v>
      </c>
      <c r="E11" t="s">
        <v>88</v>
      </c>
    </row>
    <row r="12" spans="1:6" x14ac:dyDescent="0.35">
      <c r="A12" s="1" t="s">
        <v>84</v>
      </c>
      <c r="B12" t="s">
        <v>85</v>
      </c>
      <c r="C12" t="s">
        <v>83</v>
      </c>
      <c r="E12" t="s">
        <v>88</v>
      </c>
    </row>
    <row r="13" spans="1:6" x14ac:dyDescent="0.35">
      <c r="A13" s="1" t="s">
        <v>86</v>
      </c>
      <c r="B13" t="s">
        <v>87</v>
      </c>
      <c r="C13" t="s">
        <v>83</v>
      </c>
      <c r="E13" t="s">
        <v>88</v>
      </c>
    </row>
    <row r="15" spans="1:6" x14ac:dyDescent="0.35">
      <c r="A15" s="1" t="s">
        <v>0</v>
      </c>
      <c r="B15" s="1" t="s">
        <v>18</v>
      </c>
      <c r="C15" s="1" t="s">
        <v>2</v>
      </c>
      <c r="D15" s="1" t="s">
        <v>65</v>
      </c>
      <c r="E15" s="1" t="s">
        <v>1</v>
      </c>
      <c r="F15" s="2" t="s">
        <v>78</v>
      </c>
    </row>
    <row r="16" spans="1:6" x14ac:dyDescent="0.35">
      <c r="A16" s="1" t="s">
        <v>3</v>
      </c>
      <c r="B16" t="s">
        <v>4</v>
      </c>
      <c r="C16" t="s">
        <v>5</v>
      </c>
      <c r="E16">
        <v>14</v>
      </c>
    </row>
    <row r="17" spans="1:6" x14ac:dyDescent="0.35">
      <c r="A17" s="1" t="s">
        <v>94</v>
      </c>
      <c r="B17" t="s">
        <v>95</v>
      </c>
      <c r="C17" t="s">
        <v>96</v>
      </c>
      <c r="D17">
        <v>0</v>
      </c>
      <c r="E17">
        <v>0.38</v>
      </c>
    </row>
    <row r="18" spans="1:6" x14ac:dyDescent="0.35">
      <c r="A18" s="1" t="s">
        <v>97</v>
      </c>
      <c r="B18" t="s">
        <v>98</v>
      </c>
      <c r="C18" t="s">
        <v>99</v>
      </c>
      <c r="D18">
        <v>82.057366080959994</v>
      </c>
    </row>
    <row r="19" spans="1:6" x14ac:dyDescent="0.35">
      <c r="A19" s="1" t="s">
        <v>100</v>
      </c>
      <c r="B19" t="s">
        <v>101</v>
      </c>
      <c r="C19" t="s">
        <v>102</v>
      </c>
      <c r="D19">
        <v>298</v>
      </c>
      <c r="F19" t="s">
        <v>103</v>
      </c>
    </row>
    <row r="20" spans="1:6" x14ac:dyDescent="0.35">
      <c r="A20" s="1" t="s">
        <v>104</v>
      </c>
      <c r="B20" t="s">
        <v>105</v>
      </c>
      <c r="C20" t="s">
        <v>106</v>
      </c>
      <c r="D20">
        <v>24450</v>
      </c>
      <c r="E20">
        <v>24450</v>
      </c>
      <c r="F20" t="s">
        <v>107</v>
      </c>
    </row>
    <row r="21" spans="1:6" x14ac:dyDescent="0.35">
      <c r="A21" s="1" t="s">
        <v>19</v>
      </c>
      <c r="B21" t="s">
        <v>20</v>
      </c>
      <c r="C21" t="s">
        <v>6</v>
      </c>
      <c r="D21">
        <v>0</v>
      </c>
    </row>
    <row r="22" spans="1:6" x14ac:dyDescent="0.35">
      <c r="A22" s="1" t="s">
        <v>21</v>
      </c>
      <c r="B22" t="s">
        <v>22</v>
      </c>
      <c r="C22" t="s">
        <v>6</v>
      </c>
      <c r="D22">
        <v>0</v>
      </c>
    </row>
    <row r="23" spans="1:6" x14ac:dyDescent="0.35">
      <c r="A23" s="1" t="s">
        <v>70</v>
      </c>
      <c r="B23" t="s">
        <v>71</v>
      </c>
      <c r="C23" t="s">
        <v>24</v>
      </c>
    </row>
    <row r="24" spans="1:6" x14ac:dyDescent="0.35">
      <c r="A24" s="1" t="s">
        <v>7</v>
      </c>
      <c r="B24" t="s">
        <v>8</v>
      </c>
      <c r="C24" t="s">
        <v>9</v>
      </c>
      <c r="D24">
        <v>0</v>
      </c>
    </row>
    <row r="25" spans="1:6" x14ac:dyDescent="0.35">
      <c r="A25" s="1" t="s">
        <v>10</v>
      </c>
      <c r="B25" t="s">
        <v>11</v>
      </c>
      <c r="D25">
        <v>0</v>
      </c>
    </row>
    <row r="26" spans="1:6" x14ac:dyDescent="0.35">
      <c r="A26" s="1" t="s">
        <v>12</v>
      </c>
      <c r="B26" t="s">
        <v>13</v>
      </c>
      <c r="C26" t="s">
        <v>14</v>
      </c>
      <c r="D26">
        <v>0</v>
      </c>
    </row>
    <row r="27" spans="1:6" x14ac:dyDescent="0.35">
      <c r="A27" s="1" t="s">
        <v>15</v>
      </c>
      <c r="B27" t="s">
        <v>16</v>
      </c>
      <c r="C27" t="s">
        <v>17</v>
      </c>
      <c r="D27">
        <v>0</v>
      </c>
    </row>
    <row r="28" spans="1:6" x14ac:dyDescent="0.35">
      <c r="A28" s="1" t="s">
        <v>112</v>
      </c>
      <c r="B28" t="s">
        <v>72</v>
      </c>
      <c r="C28" t="s">
        <v>24</v>
      </c>
    </row>
    <row r="29" spans="1:6" x14ac:dyDescent="0.35">
      <c r="A29" s="1" t="s">
        <v>57</v>
      </c>
      <c r="B29" t="s">
        <v>23</v>
      </c>
      <c r="C29" t="s">
        <v>24</v>
      </c>
    </row>
    <row r="30" spans="1:6" x14ac:dyDescent="0.35">
      <c r="A30" s="1" t="s">
        <v>58</v>
      </c>
      <c r="B30" t="s">
        <v>59</v>
      </c>
      <c r="C30" t="s">
        <v>24</v>
      </c>
    </row>
    <row r="31" spans="1:6" x14ac:dyDescent="0.35">
      <c r="A31" s="1" t="s">
        <v>60</v>
      </c>
      <c r="B31" t="s">
        <v>61</v>
      </c>
    </row>
    <row r="32" spans="1:6" x14ac:dyDescent="0.35">
      <c r="A32" s="1" t="s">
        <v>73</v>
      </c>
      <c r="B32" t="s">
        <v>74</v>
      </c>
      <c r="D32">
        <v>0</v>
      </c>
    </row>
    <row r="33" spans="1:5" x14ac:dyDescent="0.35">
      <c r="A33" s="1" t="s">
        <v>75</v>
      </c>
      <c r="B33" t="s">
        <v>76</v>
      </c>
      <c r="C33" t="s">
        <v>77</v>
      </c>
    </row>
    <row r="34" spans="1:5" x14ac:dyDescent="0.35">
      <c r="A34" s="1" t="s">
        <v>52</v>
      </c>
      <c r="B34" t="s">
        <v>51</v>
      </c>
      <c r="E34">
        <v>6</v>
      </c>
    </row>
    <row r="35" spans="1:5" x14ac:dyDescent="0.35">
      <c r="A35" s="1" t="s">
        <v>108</v>
      </c>
      <c r="B35" t="s">
        <v>53</v>
      </c>
      <c r="C35" t="s">
        <v>109</v>
      </c>
      <c r="E35">
        <v>0</v>
      </c>
    </row>
    <row r="36" spans="1:5" x14ac:dyDescent="0.35">
      <c r="A36" s="1" t="s">
        <v>110</v>
      </c>
      <c r="B36" t="s">
        <v>111</v>
      </c>
      <c r="C36" t="s">
        <v>109</v>
      </c>
      <c r="E36">
        <v>20</v>
      </c>
    </row>
    <row r="37" spans="1:5" x14ac:dyDescent="0.35">
      <c r="A37" s="1" t="s">
        <v>54</v>
      </c>
      <c r="B37" t="s">
        <v>55</v>
      </c>
      <c r="C37" t="s">
        <v>6</v>
      </c>
      <c r="E37">
        <v>234</v>
      </c>
    </row>
    <row r="39" spans="1:5" x14ac:dyDescent="0.35">
      <c r="A39" s="1" t="s">
        <v>0</v>
      </c>
      <c r="B39" s="1" t="s">
        <v>49</v>
      </c>
      <c r="C39" s="1"/>
      <c r="D39" s="1"/>
      <c r="E39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0591A-ACD7-43E4-B53C-80C4B223183D}">
  <dimension ref="A1:G39"/>
  <sheetViews>
    <sheetView topLeftCell="A11" workbookViewId="0">
      <selection activeCell="A28" sqref="A28"/>
    </sheetView>
  </sheetViews>
  <sheetFormatPr defaultRowHeight="14.5" x14ac:dyDescent="0.35"/>
  <cols>
    <col min="1" max="1" width="13.7265625" style="1" bestFit="1" customWidth="1"/>
    <col min="2" max="2" width="45.6328125" customWidth="1"/>
    <col min="3" max="3" width="15.7265625" bestFit="1" customWidth="1"/>
    <col min="4" max="4" width="14.54296875" customWidth="1"/>
    <col min="5" max="5" width="22.26953125" bestFit="1" customWidth="1"/>
    <col min="6" max="6" width="19.26953125" bestFit="1" customWidth="1"/>
    <col min="7" max="7" width="12.453125" bestFit="1" customWidth="1"/>
    <col min="8" max="8" width="17.54296875" bestFit="1" customWidth="1"/>
    <col min="9" max="9" width="6" bestFit="1" customWidth="1"/>
    <col min="10" max="10" width="13.54296875" customWidth="1"/>
  </cols>
  <sheetData>
    <row r="1" spans="1:7" x14ac:dyDescent="0.35">
      <c r="A1" s="1" t="s">
        <v>0</v>
      </c>
      <c r="B1" s="1" t="s">
        <v>25</v>
      </c>
      <c r="C1" s="1" t="s">
        <v>26</v>
      </c>
      <c r="D1" s="1" t="s">
        <v>65</v>
      </c>
      <c r="E1" s="1" t="s">
        <v>1</v>
      </c>
      <c r="F1" s="1" t="s">
        <v>27</v>
      </c>
    </row>
    <row r="2" spans="1:7" x14ac:dyDescent="0.35">
      <c r="A2" s="1" t="s">
        <v>28</v>
      </c>
      <c r="B2" t="s">
        <v>29</v>
      </c>
      <c r="E2" t="s">
        <v>30</v>
      </c>
      <c r="F2" t="s">
        <v>66</v>
      </c>
    </row>
    <row r="3" spans="1:7" x14ac:dyDescent="0.35">
      <c r="A3" s="1" t="s">
        <v>31</v>
      </c>
      <c r="B3" t="s">
        <v>32</v>
      </c>
      <c r="E3" t="s">
        <v>33</v>
      </c>
    </row>
    <row r="4" spans="1:7" x14ac:dyDescent="0.35">
      <c r="A4" s="1" t="s">
        <v>34</v>
      </c>
      <c r="B4" t="s">
        <v>35</v>
      </c>
      <c r="E4" t="s">
        <v>36</v>
      </c>
    </row>
    <row r="5" spans="1:7" x14ac:dyDescent="0.35">
      <c r="A5" s="1" t="s">
        <v>37</v>
      </c>
      <c r="B5" t="s">
        <v>38</v>
      </c>
      <c r="C5" t="s">
        <v>39</v>
      </c>
      <c r="E5" t="s">
        <v>40</v>
      </c>
      <c r="F5" t="s">
        <v>67</v>
      </c>
    </row>
    <row r="6" spans="1:7" x14ac:dyDescent="0.35">
      <c r="A6" s="1" t="s">
        <v>41</v>
      </c>
      <c r="B6" t="s">
        <v>42</v>
      </c>
      <c r="C6" t="s">
        <v>43</v>
      </c>
      <c r="E6" t="s">
        <v>44</v>
      </c>
      <c r="F6" t="s">
        <v>68</v>
      </c>
    </row>
    <row r="7" spans="1:7" x14ac:dyDescent="0.35">
      <c r="A7" s="1" t="s">
        <v>45</v>
      </c>
      <c r="B7" t="s">
        <v>46</v>
      </c>
      <c r="C7" t="s">
        <v>47</v>
      </c>
      <c r="E7" t="s">
        <v>48</v>
      </c>
    </row>
    <row r="8" spans="1:7" x14ac:dyDescent="0.35">
      <c r="A8" s="1" t="s">
        <v>91</v>
      </c>
      <c r="B8" t="s">
        <v>92</v>
      </c>
      <c r="C8" t="s">
        <v>83</v>
      </c>
      <c r="E8" t="s">
        <v>89</v>
      </c>
      <c r="F8" t="s">
        <v>93</v>
      </c>
    </row>
    <row r="9" spans="1:7" x14ac:dyDescent="0.35">
      <c r="A9" s="1" t="s">
        <v>90</v>
      </c>
      <c r="B9" t="s">
        <v>79</v>
      </c>
      <c r="C9" t="s">
        <v>83</v>
      </c>
      <c r="E9" t="s">
        <v>88</v>
      </c>
    </row>
    <row r="10" spans="1:7" x14ac:dyDescent="0.35">
      <c r="A10" s="1" t="s">
        <v>64</v>
      </c>
      <c r="B10" t="s">
        <v>80</v>
      </c>
      <c r="C10" t="s">
        <v>62</v>
      </c>
      <c r="F10" t="s">
        <v>69</v>
      </c>
    </row>
    <row r="11" spans="1:7" x14ac:dyDescent="0.35">
      <c r="A11" s="1" t="s">
        <v>81</v>
      </c>
      <c r="B11" t="s">
        <v>82</v>
      </c>
      <c r="C11" t="s">
        <v>83</v>
      </c>
      <c r="E11" t="s">
        <v>88</v>
      </c>
    </row>
    <row r="12" spans="1:7" x14ac:dyDescent="0.35">
      <c r="A12" s="1" t="s">
        <v>84</v>
      </c>
      <c r="B12" t="s">
        <v>85</v>
      </c>
      <c r="C12" t="s">
        <v>83</v>
      </c>
      <c r="E12" t="s">
        <v>88</v>
      </c>
    </row>
    <row r="13" spans="1:7" x14ac:dyDescent="0.35">
      <c r="A13" s="1" t="s">
        <v>86</v>
      </c>
      <c r="B13" t="s">
        <v>87</v>
      </c>
      <c r="C13" t="s">
        <v>83</v>
      </c>
      <c r="E13" t="s">
        <v>89</v>
      </c>
    </row>
    <row r="15" spans="1:7" x14ac:dyDescent="0.35">
      <c r="A15" s="1" t="s">
        <v>0</v>
      </c>
      <c r="B15" s="1" t="s">
        <v>18</v>
      </c>
      <c r="C15" s="1" t="s">
        <v>2</v>
      </c>
      <c r="D15" s="1" t="s">
        <v>65</v>
      </c>
      <c r="E15" s="1" t="s">
        <v>1</v>
      </c>
      <c r="F15" s="2" t="s">
        <v>78</v>
      </c>
    </row>
    <row r="16" spans="1:7" x14ac:dyDescent="0.35">
      <c r="A16" s="1" t="s">
        <v>3</v>
      </c>
      <c r="B16" t="s">
        <v>4</v>
      </c>
      <c r="C16" t="s">
        <v>5</v>
      </c>
      <c r="E16">
        <f>F16/24</f>
        <v>0.25</v>
      </c>
      <c r="F16">
        <v>6</v>
      </c>
      <c r="G16" t="s">
        <v>50</v>
      </c>
    </row>
    <row r="17" spans="1:6" x14ac:dyDescent="0.35">
      <c r="A17" s="1" t="s">
        <v>94</v>
      </c>
      <c r="B17" t="s">
        <v>95</v>
      </c>
      <c r="C17" t="s">
        <v>96</v>
      </c>
      <c r="D17">
        <v>0</v>
      </c>
      <c r="E17">
        <v>0.22500000000000001</v>
      </c>
    </row>
    <row r="18" spans="1:6" x14ac:dyDescent="0.35">
      <c r="A18" s="1" t="s">
        <v>97</v>
      </c>
      <c r="B18" t="s">
        <v>98</v>
      </c>
      <c r="C18" t="s">
        <v>99</v>
      </c>
      <c r="D18">
        <v>82.057366080959994</v>
      </c>
    </row>
    <row r="19" spans="1:6" x14ac:dyDescent="0.35">
      <c r="A19" s="1" t="s">
        <v>100</v>
      </c>
      <c r="B19" t="s">
        <v>101</v>
      </c>
      <c r="C19" t="s">
        <v>102</v>
      </c>
      <c r="D19">
        <v>298</v>
      </c>
      <c r="F19" t="s">
        <v>103</v>
      </c>
    </row>
    <row r="20" spans="1:6" x14ac:dyDescent="0.35">
      <c r="A20" s="1" t="s">
        <v>104</v>
      </c>
      <c r="B20" t="s">
        <v>105</v>
      </c>
      <c r="C20" t="s">
        <v>106</v>
      </c>
      <c r="D20">
        <v>24450</v>
      </c>
      <c r="E20">
        <v>24450</v>
      </c>
      <c r="F20" t="s">
        <v>107</v>
      </c>
    </row>
    <row r="21" spans="1:6" x14ac:dyDescent="0.35">
      <c r="A21" s="1" t="s">
        <v>19</v>
      </c>
      <c r="B21" t="s">
        <v>20</v>
      </c>
      <c r="C21" t="s">
        <v>6</v>
      </c>
      <c r="D21">
        <v>0</v>
      </c>
    </row>
    <row r="22" spans="1:6" x14ac:dyDescent="0.35">
      <c r="A22" s="1" t="s">
        <v>21</v>
      </c>
      <c r="B22" t="s">
        <v>22</v>
      </c>
      <c r="C22" t="s">
        <v>6</v>
      </c>
      <c r="D22">
        <v>0</v>
      </c>
    </row>
    <row r="23" spans="1:6" x14ac:dyDescent="0.35">
      <c r="A23" s="1" t="s">
        <v>70</v>
      </c>
      <c r="B23" t="s">
        <v>71</v>
      </c>
      <c r="C23" t="s">
        <v>24</v>
      </c>
    </row>
    <row r="24" spans="1:6" x14ac:dyDescent="0.35">
      <c r="A24" s="1" t="s">
        <v>7</v>
      </c>
      <c r="B24" t="s">
        <v>8</v>
      </c>
      <c r="C24" t="s">
        <v>9</v>
      </c>
      <c r="D24">
        <v>0</v>
      </c>
      <c r="E24">
        <v>107</v>
      </c>
    </row>
    <row r="25" spans="1:6" x14ac:dyDescent="0.35">
      <c r="A25" s="1" t="s">
        <v>10</v>
      </c>
      <c r="B25" t="s">
        <v>11</v>
      </c>
      <c r="D25">
        <v>0</v>
      </c>
      <c r="E25">
        <v>3</v>
      </c>
    </row>
    <row r="26" spans="1:6" x14ac:dyDescent="0.35">
      <c r="A26" s="1" t="s">
        <v>12</v>
      </c>
      <c r="B26" t="s">
        <v>13</v>
      </c>
      <c r="C26" t="s">
        <v>14</v>
      </c>
      <c r="D26">
        <v>0</v>
      </c>
      <c r="E26">
        <v>9</v>
      </c>
    </row>
    <row r="27" spans="1:6" x14ac:dyDescent="0.35">
      <c r="A27" s="1" t="s">
        <v>15</v>
      </c>
      <c r="B27" t="s">
        <v>16</v>
      </c>
      <c r="C27" t="s">
        <v>17</v>
      </c>
      <c r="D27">
        <v>0</v>
      </c>
      <c r="E27">
        <v>0</v>
      </c>
    </row>
    <row r="28" spans="1:6" x14ac:dyDescent="0.35">
      <c r="A28" s="1" t="s">
        <v>112</v>
      </c>
      <c r="B28" t="s">
        <v>72</v>
      </c>
      <c r="C28" t="s">
        <v>24</v>
      </c>
    </row>
    <row r="29" spans="1:6" x14ac:dyDescent="0.35">
      <c r="A29" s="1" t="s">
        <v>57</v>
      </c>
      <c r="B29" t="s">
        <v>23</v>
      </c>
      <c r="C29" t="s">
        <v>24</v>
      </c>
    </row>
    <row r="30" spans="1:6" x14ac:dyDescent="0.35">
      <c r="A30" s="1" t="s">
        <v>58</v>
      </c>
      <c r="B30" t="s">
        <v>59</v>
      </c>
      <c r="C30" t="s">
        <v>24</v>
      </c>
    </row>
    <row r="31" spans="1:6" x14ac:dyDescent="0.35">
      <c r="A31" s="1" t="s">
        <v>60</v>
      </c>
      <c r="B31" t="s">
        <v>61</v>
      </c>
    </row>
    <row r="32" spans="1:6" x14ac:dyDescent="0.35">
      <c r="A32" s="1" t="s">
        <v>73</v>
      </c>
      <c r="B32" t="s">
        <v>74</v>
      </c>
      <c r="D32">
        <v>0</v>
      </c>
    </row>
    <row r="33" spans="1:5" x14ac:dyDescent="0.35">
      <c r="A33" s="1" t="s">
        <v>75</v>
      </c>
      <c r="B33" t="s">
        <v>76</v>
      </c>
      <c r="C33" t="s">
        <v>77</v>
      </c>
    </row>
    <row r="34" spans="1:5" x14ac:dyDescent="0.35">
      <c r="A34" s="1" t="s">
        <v>52</v>
      </c>
      <c r="B34" t="s">
        <v>51</v>
      </c>
    </row>
    <row r="35" spans="1:5" x14ac:dyDescent="0.35">
      <c r="A35" s="1" t="s">
        <v>108</v>
      </c>
      <c r="B35" t="s">
        <v>53</v>
      </c>
      <c r="C35" t="s">
        <v>109</v>
      </c>
    </row>
    <row r="36" spans="1:5" x14ac:dyDescent="0.35">
      <c r="A36" s="1" t="s">
        <v>110</v>
      </c>
      <c r="B36" t="s">
        <v>111</v>
      </c>
      <c r="C36" t="s">
        <v>109</v>
      </c>
    </row>
    <row r="37" spans="1:5" x14ac:dyDescent="0.35">
      <c r="A37" s="1" t="s">
        <v>54</v>
      </c>
      <c r="B37" t="s">
        <v>55</v>
      </c>
      <c r="C37" t="s">
        <v>6</v>
      </c>
    </row>
    <row r="39" spans="1:5" x14ac:dyDescent="0.35">
      <c r="A39" s="1" t="s">
        <v>0</v>
      </c>
      <c r="B39" s="1" t="s">
        <v>49</v>
      </c>
      <c r="C39" s="1"/>
      <c r="D39" s="1"/>
      <c r="E39" s="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haredContentType xmlns="Microsoft.SharePoint.Taxonomy.ContentTypeSync" SourceId="29f62856-1543-49d4-a736-4569d363f533" ContentTypeId="0x0101" PreviousValue="false"/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07526348C97345843FB1F7E3F5FF14" ma:contentTypeVersion="20" ma:contentTypeDescription="Create a new document." ma:contentTypeScope="" ma:versionID="1f5efa0b4590ceb4068c523eef838cbf">
  <xsd:schema xmlns:xsd="http://www.w3.org/2001/XMLSchema" xmlns:xs="http://www.w3.org/2001/XMLSchema" xmlns:p="http://schemas.microsoft.com/office/2006/metadata/properties" xmlns:ns1="http://schemas.microsoft.com/sharepoint/v3" xmlns:ns2="4ffa91fb-a0ff-4ac5-b2db-65c790d184a4" xmlns:ns3="http://schemas.microsoft.com/sharepoint.v3" xmlns:ns4="http://schemas.microsoft.com/sharepoint/v3/fields" xmlns:ns5="2ba80736-48fa-4d73-aaff-bacaeeed013a" xmlns:ns6="41d9f072-86bf-4c63-b117-debf50ff4701" targetNamespace="http://schemas.microsoft.com/office/2006/metadata/properties" ma:root="true" ma:fieldsID="9d32b47d5805bf9e4ccfb00021215c68" ns1:_="" ns2:_="" ns3:_="" ns4:_="" ns5:_="" ns6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2ba80736-48fa-4d73-aaff-bacaeeed013a"/>
    <xsd:import namespace="41d9f072-86bf-4c63-b117-debf50ff4701"/>
    <xsd:element name="properties">
      <xsd:complexType>
        <xsd:sequence>
          <xsd:element name="documentManagement">
            <xsd:complexType>
              <xsd:all>
                <xsd:element ref="ns2:Document_x0020_Creation_x0020_Date" minOccurs="0"/>
                <xsd:element ref="ns2:Creator" minOccurs="0"/>
                <xsd:element ref="ns2:EPA_x0020_Office" minOccurs="0"/>
                <xsd:element ref="ns2:Record" minOccurs="0"/>
                <xsd:element ref="ns3:CategoryDescription" minOccurs="0"/>
                <xsd:element ref="ns2:Identifier" minOccurs="0"/>
                <xsd:element ref="ns2:EPA_x0020_Contributor" minOccurs="0"/>
                <xsd:element ref="ns2:External_x0020_Contributor" minOccurs="0"/>
                <xsd:element ref="ns4:_Coverage" minOccurs="0"/>
                <xsd:element ref="ns2:EPA_x0020_Related_x0020_Documents" minOccurs="0"/>
                <xsd:element ref="ns4:_Source" minOccurs="0"/>
                <xsd:element ref="ns2:Rights" minOccurs="0"/>
                <xsd:element ref="ns1:Language" minOccurs="0"/>
                <xsd:element ref="ns2:j747ac98061d40f0aa7bd47e1db5675d" minOccurs="0"/>
                <xsd:element ref="ns2:TaxKeywordTaxHTField" minOccurs="0"/>
                <xsd:element ref="ns2:TaxCatchAllLabel" minOccurs="0"/>
                <xsd:element ref="ns2:TaxCatchAll" minOccurs="0"/>
                <xsd:element ref="ns2:e3f09c3df709400db2417a7161762d62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6:SharedWithUsers" minOccurs="0"/>
                <xsd:element ref="ns6:SharedWithDetails" minOccurs="0"/>
                <xsd:element ref="ns5:MediaServiceGenerationTime" minOccurs="0"/>
                <xsd:element ref="ns5:MediaServiceEventHashCode" minOccurs="0"/>
                <xsd:element ref="ns5:MediaServiceAutoKeyPoints" minOccurs="0"/>
                <xsd:element ref="ns5:MediaServiceKeyPoints" minOccurs="0"/>
                <xsd:element ref="ns5:MediaServiceDateTaken" minOccurs="0"/>
                <xsd:element ref="ns5:lcf76f155ced4ddcb4097134ff3c332f" minOccurs="0"/>
                <xsd:element ref="ns5:MediaServiceObjectDetectorVersions" minOccurs="0"/>
                <xsd:element ref="ns5:MediaServiceSearchProperties" minOccurs="0"/>
                <xsd:element ref="ns5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 ma:readOnly="false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description="" ma:hidden="true" ma:list="{3f8140d4-46ad-4523-b80f-0b31c25fa229}" ma:internalName="TaxCatchAllLabel" ma:readOnly="true" ma:showField="CatchAllDataLabel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description="" ma:hidden="true" ma:list="{3f8140d4-46ad-4523-b80f-0b31c25fa229}" ma:internalName="TaxCatchAll" ma:showField="CatchAllData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e3f09c3df709400db2417a7161762d62" ma:index="28" nillable="true" ma:taxonomy="true" ma:internalName="e3f09c3df709400db2417a7161762d62" ma:taxonomyFieldName="EPA_x0020_Subject" ma:displayName="EPA Subject" ma:readOnly="false" ma:default="" ma:fieldId="{e3f09c3d-f709-400d-b241-7a7161762d62}" ma:taxonomyMulti="true" ma:sspId="29f62856-1543-49d4-a736-4569d363f533" ma:termSetId="7a3d4ae0-7e62-45a2-a406-c6a8a6a8eee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a80736-48fa-4d73-aaff-bacaeeed01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1" nillable="true" ma:displayName="MediaServiceAutoTags" ma:internalName="MediaServiceAutoTags" ma:readOnly="true">
      <xsd:simpleType>
        <xsd:restriction base="dms:Text"/>
      </xsd:simpleType>
    </xsd:element>
    <xsd:element name="MediaServiceOCR" ma:index="3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3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41" nillable="true" ma:taxonomy="true" ma:internalName="lcf76f155ced4ddcb4097134ff3c332f" ma:taxonomyFieldName="MediaServiceImageTags" ma:displayName="Image Tags" ma:readOnly="false" ma:fieldId="{5cf76f15-5ced-4ddc-b409-7134ff3c332f}" ma:taxonomyMulti="true" ma:sspId="29f62856-1543-49d4-a736-4569d363f53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4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4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9f072-86bf-4c63-b117-debf50ff4701" elementFormDefault="qualified">
    <xsd:import namespace="http://schemas.microsoft.com/office/2006/documentManagement/types"/>
    <xsd:import namespace="http://schemas.microsoft.com/office/infopath/2007/PartnerControls"/>
    <xsd:element name="SharedWithUsers" ma:index="3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2020-10-14T20:30:29+00:00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 xsi:nil="true"/>
    <e3f09c3df709400db2417a7161762d62 xmlns="4ffa91fb-a0ff-4ac5-b2db-65c790d184a4">
      <Terms xmlns="http://schemas.microsoft.com/office/infopath/2007/PartnerControls"/>
    </e3f09c3df709400db2417a7161762d62>
    <lcf76f155ced4ddcb4097134ff3c332f xmlns="2ba80736-48fa-4d73-aaff-bacaeeed013a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C4A2D8C-C5B5-46A0-8FC1-3730CC1A83D7}">
  <ds:schemaRefs>
    <ds:schemaRef ds:uri="Microsoft.SharePoint.Taxonomy.ContentTypeSync"/>
  </ds:schemaRefs>
</ds:datastoreItem>
</file>

<file path=customXml/itemProps2.xml><?xml version="1.0" encoding="utf-8"?>
<ds:datastoreItem xmlns:ds="http://schemas.openxmlformats.org/officeDocument/2006/customXml" ds:itemID="{51D577E9-3AC0-4243-84D1-EEEA024D6BC5}"/>
</file>

<file path=customXml/itemProps3.xml><?xml version="1.0" encoding="utf-8"?>
<ds:datastoreItem xmlns:ds="http://schemas.openxmlformats.org/officeDocument/2006/customXml" ds:itemID="{AA939294-F21F-45CD-81A6-3A616888DAC5}">
  <ds:schemaRefs>
    <ds:schemaRef ds:uri="http://schemas.microsoft.com/office/2006/metadata/properties"/>
    <ds:schemaRef ds:uri="http://schemas.microsoft.com/office/infopath/2007/PartnerControls"/>
    <ds:schemaRef ds:uri="http://schemas.microsoft.com/sharepoint/v3/fields"/>
    <ds:schemaRef ds:uri="http://schemas.microsoft.com/sharepoint/v3"/>
    <ds:schemaRef ds:uri="4ffa91fb-a0ff-4ac5-b2db-65c790d184a4"/>
    <ds:schemaRef ds:uri="93237db7-bebb-43bb-9414-bc3313990c09"/>
    <ds:schemaRef ds:uri="http://schemas.microsoft.com/sharepoint.v3"/>
  </ds:schemaRefs>
</ds:datastoreItem>
</file>

<file path=customXml/itemProps4.xml><?xml version="1.0" encoding="utf-8"?>
<ds:datastoreItem xmlns:ds="http://schemas.openxmlformats.org/officeDocument/2006/customXml" ds:itemID="{4DC26B68-A11F-428F-9051-23DC6334A81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Oral_Periodic_IRIS_T5.11</vt:lpstr>
      <vt:lpstr>Oral_Periodic_IRIS_T5.1</vt:lpstr>
      <vt:lpstr>Inh_Closed_IRIS_FigC3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2020-10-14T17:32:53Z</dcterms:created>
  <dcterms:modified xsi:type="dcterms:W3CDTF">2022-09-20T18:51:19Z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0x010100C107526348C97345843FB1F7E3F5FF14</vt:lpwstr>
  </property>
  <property fmtid="{D5CDD505-2E9C-101B-9397-08002B2CF9AE}" pid="3" name="TaxKeyword">
    <vt:lpwstr/>
  </property>
  <property fmtid="{D5CDD505-2E9C-101B-9397-08002B2CF9AE}" pid="4" name="Document_x0020_Type">
    <vt:lpwstr/>
  </property>
  <property fmtid="{D5CDD505-2E9C-101B-9397-08002B2CF9AE}" pid="5" name="Document Type">
    <vt:lpwstr/>
  </property>
  <property fmtid="{D5CDD505-2E9C-101B-9397-08002B2CF9AE}" pid="6" name="MediaServiceImageTags">
    <vt:lpwstr/>
  </property>
  <property fmtid="{D5CDD505-2E9C-101B-9397-08002B2CF9AE}" pid="7" name="EPA Subject">
    <vt:lpwstr/>
  </property>
  <property fmtid="{D5CDD505-2E9C-101B-9397-08002B2CF9AE}" pid="8" name="EPA_x0020_Subject">
    <vt:lpwstr/>
  </property>
</Properties>
</file>