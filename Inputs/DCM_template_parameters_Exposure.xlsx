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435" documentId="8_{D031EE4F-1494-41E6-A9B6-B336235EFD1E}" xr6:coauthVersionLast="47" xr6:coauthVersionMax="47" xr10:uidLastSave="{372B6FE9-4F2A-4A4C-B969-64E0CA33C61F}"/>
  <bookViews>
    <workbookView xWindow="-110" yWindow="-110" windowWidth="19420" windowHeight="10420" tabRatio="898" xr2:uid="{089E7848-11EB-427A-89EA-83825F220BA0}"/>
  </bookViews>
  <sheets>
    <sheet name="Oral_Periodic_IRIS_T5.11" sheetId="21" r:id="rId1"/>
    <sheet name="Oral_Periodic_IRIS_T5.1" sheetId="22" r:id="rId2"/>
    <sheet name="Inh_Closed_IRIS_FigC3" sheetId="2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23" l="1"/>
</calcChain>
</file>

<file path=xl/sharedStrings.xml><?xml version="1.0" encoding="utf-8"?>
<sst xmlns="http://schemas.openxmlformats.org/spreadsheetml/2006/main" count="384" uniqueCount="113">
  <si>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</si>
  <si>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</si>
  <si>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</si>
  <si>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</si>
  <si>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</si>
  <si>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</si>
  <si>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</si>
  <si>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</si>
  <si>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</si>
  <si>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</si>
  <si>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</si>
  <si>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</si>
  <si>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</si>
  <si>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</si>
  <si>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</si>
  <si>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</si>
  <si>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</si>
  <si>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</si>
  <si>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</si>
  <si>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</si>
  <si>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</si>
  <si>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</si>
  <si>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</si>
  <si>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</si>
  <si>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</si>
  <si>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</si>
  <si>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</si>
  <si>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</si>
  <si>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</si>
  <si>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</si>
  <si>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DCM</t>
  </si>
  <si>
    <t>species</t>
  </si>
  <si>
    <t>Species</t>
  </si>
  <si>
    <t>rat</t>
  </si>
  <si>
    <t>sex</t>
  </si>
  <si>
    <t>Sex</t>
  </si>
  <si>
    <t>male</t>
  </si>
  <si>
    <t>M.units</t>
  </si>
  <si>
    <t>Mass units</t>
  </si>
  <si>
    <t>mg, ug, ng</t>
  </si>
  <si>
    <t>mg</t>
  </si>
  <si>
    <t>V.units</t>
  </si>
  <si>
    <t>Volume units</t>
  </si>
  <si>
    <t>mL, L</t>
  </si>
  <si>
    <t>L</t>
  </si>
  <si>
    <t>T.units</t>
  </si>
  <si>
    <t>Time units</t>
  </si>
  <si>
    <t>min, h, days</t>
  </si>
  <si>
    <t>h</t>
  </si>
  <si>
    <t>End of File</t>
  </si>
  <si>
    <t>hours</t>
  </si>
  <si>
    <t>Drinking Water: Periodic Exposure: Number of Doses per day</t>
  </si>
  <si>
    <t>n.doses_water</t>
  </si>
  <si>
    <t>Drinking Water: Periodic Exposure: Time of first dose each day</t>
  </si>
  <si>
    <t>dose_water</t>
  </si>
  <si>
    <t>Drinking Water: Periodic Exposure: Total dose per day</t>
  </si>
  <si>
    <t>mouse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</si>
  <si>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</si>
  <si>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</si>
  <si>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</si>
  <si>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</si>
  <si>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</si>
  <si>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equal, unequal</t>
  </si>
  <si>
    <t>unequal</t>
  </si>
  <si>
    <t>water.equal</t>
  </si>
  <si>
    <t>Default Value</t>
  </si>
  <si>
    <t>Columns F and further right can be used for notes and will not be used by the model simulation code.</t>
  </si>
  <si>
    <t>Use the units specified here for the parameters below unless otherwise specified.</t>
  </si>
  <si>
    <t>The model is automatically converted to, run, and output in units of mg, L, h.</t>
  </si>
  <si>
    <t>provide proportions in R script if unequal</t>
  </si>
  <si>
    <t>T_iv_infuse</t>
  </si>
  <si>
    <t>IV: Infusion Time</t>
  </si>
  <si>
    <t>Inhalation: End time of exposure (single exposure)</t>
  </si>
  <si>
    <t>R_0bgli</t>
  </si>
  <si>
    <t>Zero Order rate of endogenous production in liver</t>
  </si>
  <si>
    <t>C_ven_SS</t>
  </si>
  <si>
    <t>Concentration in venous blood at steady state</t>
  </si>
  <si>
    <t>mg/L</t>
  </si>
  <si>
    <t>Values from Paper</t>
  </si>
  <si>
    <t>Water dosing (periodic bolus oral dosing)</t>
  </si>
  <si>
    <t>If water dosing, is the dose assumed equally proportioned over the day?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</si>
  <si>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</si>
  <si>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</si>
  <si>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</si>
  <si>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</si>
  <si>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</si>
  <si>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</si>
  <si>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</si>
  <si>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N</t>
  </si>
  <si>
    <t>Y</t>
  </si>
  <si>
    <t>water.dose</t>
  </si>
  <si>
    <t>BW_constant</t>
  </si>
  <si>
    <t>Body weight is constant?</t>
  </si>
  <si>
    <t>For non-constant BW, specify table of body weights vs time in R scripts</t>
  </si>
  <si>
    <t>BW</t>
  </si>
  <si>
    <t>Body Mass</t>
  </si>
  <si>
    <t>kg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</si>
  <si>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</si>
  <si>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</si>
  <si>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</si>
  <si>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</si>
  <si>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</si>
  <si>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</si>
  <si>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</si>
  <si>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</si>
  <si>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</si>
  <si>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</si>
  <si>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*This quantity divides the molecular weight to obtain a conversation factor that takes a concentration of chemical from units of ppm to units of mg/L.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</si>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</sst>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516F-45C8-46D8-8E54-4E21A32089D5}">
  <dimension ref="A1:F39"/>
  <sheetViews>
    <sheetView tabSelected="1" topLeftCell="A19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65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30</v>
      </c>
      <c r="F2" t="s">
        <v>66</v>
      </c>
    </row>
    <row r="3" spans="1:6" x14ac:dyDescent="0.35">
      <c r="A3" s="1" t="s">
        <v>31</v>
      </c>
      <c r="B3" t="s">
        <v>32</v>
      </c>
      <c r="E3" t="s">
        <v>56</v>
      </c>
    </row>
    <row r="4" spans="1:6" x14ac:dyDescent="0.35">
      <c r="A4" s="1" t="s">
        <v>34</v>
      </c>
      <c r="B4" t="s">
        <v>35</v>
      </c>
      <c r="E4" t="s">
        <v>36</v>
      </c>
    </row>
    <row r="5" spans="1:6" x14ac:dyDescent="0.35">
      <c r="A5" s="1" t="s">
        <v>37</v>
      </c>
      <c r="B5" t="s">
        <v>38</v>
      </c>
      <c r="C5" t="s">
        <v>39</v>
      </c>
      <c r="E5" t="s">
        <v>40</v>
      </c>
      <c r="F5" t="s">
        <v>67</v>
      </c>
    </row>
    <row r="6" spans="1:6" x14ac:dyDescent="0.35">
      <c r="A6" s="1" t="s">
        <v>41</v>
      </c>
      <c r="B6" t="s">
        <v>42</v>
      </c>
      <c r="C6" t="s">
        <v>43</v>
      </c>
      <c r="E6" t="s">
        <v>44</v>
      </c>
      <c r="F6" t="s">
        <v>68</v>
      </c>
    </row>
    <row r="7" spans="1:6" x14ac:dyDescent="0.35">
      <c r="A7" s="1" t="s">
        <v>45</v>
      </c>
      <c r="B7" t="s">
        <v>46</v>
      </c>
      <c r="C7" t="s">
        <v>47</v>
      </c>
      <c r="E7" t="s">
        <v>48</v>
      </c>
    </row>
    <row r="8" spans="1:6" x14ac:dyDescent="0.35">
      <c r="A8" s="1" t="s">
        <v>91</v>
      </c>
      <c r="B8" t="s">
        <v>92</v>
      </c>
      <c r="C8" t="s">
        <v>83</v>
      </c>
      <c r="E8" t="s">
        <v>89</v>
      </c>
      <c r="F8" t="s">
        <v>93</v>
      </c>
    </row>
    <row r="9" spans="1:6" x14ac:dyDescent="0.35">
      <c r="A9" s="1" t="s">
        <v>90</v>
      </c>
      <c r="B9" t="s">
        <v>79</v>
      </c>
      <c r="C9" t="s">
        <v>83</v>
      </c>
      <c r="E9" t="s">
        <v>89</v>
      </c>
    </row>
    <row r="10" spans="1:6" x14ac:dyDescent="0.35">
      <c r="A10" s="1" t="s">
        <v>64</v>
      </c>
      <c r="B10" t="s">
        <v>80</v>
      </c>
      <c r="C10" t="s">
        <v>62</v>
      </c>
      <c r="E10" t="s">
        <v>63</v>
      </c>
      <c r="F10" t="s">
        <v>69</v>
      </c>
    </row>
    <row r="11" spans="1:6" x14ac:dyDescent="0.35">
      <c r="A11" s="1" t="s">
        <v>81</v>
      </c>
      <c r="B11" t="s">
        <v>82</v>
      </c>
      <c r="C11" t="s">
        <v>83</v>
      </c>
      <c r="E11" t="s">
        <v>88</v>
      </c>
    </row>
    <row r="12" spans="1:6" x14ac:dyDescent="0.35">
      <c r="A12" s="1" t="s">
        <v>84</v>
      </c>
      <c r="B12" t="s">
        <v>85</v>
      </c>
      <c r="C12" t="s">
        <v>83</v>
      </c>
      <c r="E12" t="s">
        <v>88</v>
      </c>
    </row>
    <row r="13" spans="1:6" x14ac:dyDescent="0.35">
      <c r="A13" s="1" t="s">
        <v>86</v>
      </c>
      <c r="B13" t="s">
        <v>87</v>
      </c>
      <c r="C13" t="s">
        <v>83</v>
      </c>
      <c r="E13" t="s">
        <v>88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65</v>
      </c>
      <c r="E15" s="1" t="s">
        <v>1</v>
      </c>
      <c r="F15" s="2" t="s">
        <v>78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</row>
    <row r="17" spans="1:6" x14ac:dyDescent="0.35">
      <c r="A17" s="1" t="s">
        <v>94</v>
      </c>
      <c r="B17" t="s">
        <v>95</v>
      </c>
      <c r="C17" t="s">
        <v>96</v>
      </c>
      <c r="D17">
        <v>0</v>
      </c>
      <c r="E17">
        <v>3.73E-2</v>
      </c>
    </row>
    <row r="18" spans="1:6" x14ac:dyDescent="0.35">
      <c r="A18" s="1" t="s">
        <v>97</v>
      </c>
      <c r="B18" t="s">
        <v>98</v>
      </c>
      <c r="C18" t="s">
        <v>99</v>
      </c>
      <c r="D18">
        <v>82.057366080959994</v>
      </c>
    </row>
    <row r="19" spans="1:6" x14ac:dyDescent="0.35">
      <c r="A19" s="1" t="s">
        <v>100</v>
      </c>
      <c r="B19" t="s">
        <v>101</v>
      </c>
      <c r="C19" t="s">
        <v>102</v>
      </c>
      <c r="D19">
        <v>298</v>
      </c>
      <c r="F19" t="s">
        <v>103</v>
      </c>
    </row>
    <row r="20" spans="1:6" x14ac:dyDescent="0.35">
      <c r="A20" s="1" t="s">
        <v>104</v>
      </c>
      <c r="B20" t="s">
        <v>105</v>
      </c>
      <c r="C20" t="s">
        <v>106</v>
      </c>
      <c r="D20">
        <v>24450</v>
      </c>
      <c r="E20">
        <v>24450</v>
      </c>
      <c r="F20" t="s">
        <v>107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70</v>
      </c>
      <c r="B23" t="s">
        <v>71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112</v>
      </c>
      <c r="B28" t="s">
        <v>72</v>
      </c>
      <c r="C28" t="s">
        <v>24</v>
      </c>
    </row>
    <row r="29" spans="1:6" x14ac:dyDescent="0.35">
      <c r="A29" s="1" t="s">
        <v>57</v>
      </c>
      <c r="B29" t="s">
        <v>23</v>
      </c>
      <c r="C29" t="s">
        <v>24</v>
      </c>
    </row>
    <row r="30" spans="1:6" x14ac:dyDescent="0.35">
      <c r="A30" s="1" t="s">
        <v>58</v>
      </c>
      <c r="B30" t="s">
        <v>59</v>
      </c>
      <c r="C30" t="s">
        <v>24</v>
      </c>
    </row>
    <row r="31" spans="1:6" x14ac:dyDescent="0.35">
      <c r="A31" s="1" t="s">
        <v>60</v>
      </c>
      <c r="B31" t="s">
        <v>61</v>
      </c>
    </row>
    <row r="32" spans="1:6" x14ac:dyDescent="0.35">
      <c r="A32" s="1" t="s">
        <v>73</v>
      </c>
      <c r="B32" t="s">
        <v>74</v>
      </c>
      <c r="D32">
        <v>0</v>
      </c>
    </row>
    <row r="33" spans="1:5" x14ac:dyDescent="0.35">
      <c r="A33" s="1" t="s">
        <v>75</v>
      </c>
      <c r="B33" t="s">
        <v>76</v>
      </c>
      <c r="C33" t="s">
        <v>77</v>
      </c>
    </row>
    <row r="34" spans="1:5" x14ac:dyDescent="0.35">
      <c r="A34" s="1" t="s">
        <v>52</v>
      </c>
      <c r="B34" t="s">
        <v>51</v>
      </c>
      <c r="E34">
        <v>6</v>
      </c>
    </row>
    <row r="35" spans="1:5" x14ac:dyDescent="0.35">
      <c r="A35" s="1" t="s">
        <v>108</v>
      </c>
      <c r="B35" t="s">
        <v>53</v>
      </c>
      <c r="C35" t="s">
        <v>109</v>
      </c>
      <c r="E35">
        <v>0</v>
      </c>
    </row>
    <row r="36" spans="1:5" x14ac:dyDescent="0.35">
      <c r="A36" s="1" t="s">
        <v>110</v>
      </c>
      <c r="B36" t="s">
        <v>111</v>
      </c>
      <c r="C36" t="s">
        <v>109</v>
      </c>
      <c r="E36">
        <v>20</v>
      </c>
    </row>
    <row r="37" spans="1:5" x14ac:dyDescent="0.35">
      <c r="A37" s="1" t="s">
        <v>54</v>
      </c>
      <c r="B37" t="s">
        <v>55</v>
      </c>
      <c r="C37" t="s">
        <v>6</v>
      </c>
      <c r="E37">
        <v>234</v>
      </c>
    </row>
    <row r="39" spans="1:5" x14ac:dyDescent="0.35">
      <c r="A39" s="1" t="s">
        <v>0</v>
      </c>
      <c r="B39" s="1" t="s">
        <v>49</v>
      </c>
      <c r="C39" s="1"/>
      <c r="D39" s="1"/>
      <c r="E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E964-FA9C-4F3B-9612-A21B90CC08C4}">
  <dimension ref="A1:F39"/>
  <sheetViews>
    <sheetView topLeftCell="A10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65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30</v>
      </c>
      <c r="F2" t="s">
        <v>66</v>
      </c>
    </row>
    <row r="3" spans="1:6" x14ac:dyDescent="0.35">
      <c r="A3" s="1" t="s">
        <v>31</v>
      </c>
      <c r="B3" t="s">
        <v>32</v>
      </c>
      <c r="E3" t="s">
        <v>33</v>
      </c>
    </row>
    <row r="4" spans="1:6" x14ac:dyDescent="0.35">
      <c r="A4" s="1" t="s">
        <v>34</v>
      </c>
      <c r="B4" t="s">
        <v>35</v>
      </c>
      <c r="E4" t="s">
        <v>36</v>
      </c>
    </row>
    <row r="5" spans="1:6" x14ac:dyDescent="0.35">
      <c r="A5" s="1" t="s">
        <v>37</v>
      </c>
      <c r="B5" t="s">
        <v>38</v>
      </c>
      <c r="C5" t="s">
        <v>39</v>
      </c>
      <c r="E5" t="s">
        <v>40</v>
      </c>
      <c r="F5" t="s">
        <v>67</v>
      </c>
    </row>
    <row r="6" spans="1:6" x14ac:dyDescent="0.35">
      <c r="A6" s="1" t="s">
        <v>41</v>
      </c>
      <c r="B6" t="s">
        <v>42</v>
      </c>
      <c r="C6" t="s">
        <v>43</v>
      </c>
      <c r="E6" t="s">
        <v>44</v>
      </c>
      <c r="F6" t="s">
        <v>68</v>
      </c>
    </row>
    <row r="7" spans="1:6" x14ac:dyDescent="0.35">
      <c r="A7" s="1" t="s">
        <v>45</v>
      </c>
      <c r="B7" t="s">
        <v>46</v>
      </c>
      <c r="C7" t="s">
        <v>47</v>
      </c>
      <c r="E7" t="s">
        <v>48</v>
      </c>
    </row>
    <row r="8" spans="1:6" x14ac:dyDescent="0.35">
      <c r="A8" s="1" t="s">
        <v>91</v>
      </c>
      <c r="B8" t="s">
        <v>92</v>
      </c>
      <c r="C8" t="s">
        <v>83</v>
      </c>
      <c r="E8" t="s">
        <v>89</v>
      </c>
      <c r="F8" t="s">
        <v>93</v>
      </c>
    </row>
    <row r="9" spans="1:6" x14ac:dyDescent="0.35">
      <c r="A9" s="1" t="s">
        <v>90</v>
      </c>
      <c r="B9" t="s">
        <v>79</v>
      </c>
      <c r="C9" t="s">
        <v>83</v>
      </c>
      <c r="E9" t="s">
        <v>89</v>
      </c>
    </row>
    <row r="10" spans="1:6" x14ac:dyDescent="0.35">
      <c r="A10" s="1" t="s">
        <v>64</v>
      </c>
      <c r="B10" t="s">
        <v>80</v>
      </c>
      <c r="C10" t="s">
        <v>62</v>
      </c>
      <c r="E10" t="s">
        <v>63</v>
      </c>
      <c r="F10" t="s">
        <v>69</v>
      </c>
    </row>
    <row r="11" spans="1:6" x14ac:dyDescent="0.35">
      <c r="A11" s="1" t="s">
        <v>81</v>
      </c>
      <c r="B11" t="s">
        <v>82</v>
      </c>
      <c r="C11" t="s">
        <v>83</v>
      </c>
      <c r="E11" t="s">
        <v>88</v>
      </c>
    </row>
    <row r="12" spans="1:6" x14ac:dyDescent="0.35">
      <c r="A12" s="1" t="s">
        <v>84</v>
      </c>
      <c r="B12" t="s">
        <v>85</v>
      </c>
      <c r="C12" t="s">
        <v>83</v>
      </c>
      <c r="E12" t="s">
        <v>88</v>
      </c>
    </row>
    <row r="13" spans="1:6" x14ac:dyDescent="0.35">
      <c r="A13" s="1" t="s">
        <v>86</v>
      </c>
      <c r="B13" t="s">
        <v>87</v>
      </c>
      <c r="C13" t="s">
        <v>83</v>
      </c>
      <c r="E13" t="s">
        <v>88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65</v>
      </c>
      <c r="E15" s="1" t="s">
        <v>1</v>
      </c>
      <c r="F15" s="2" t="s">
        <v>78</v>
      </c>
    </row>
    <row r="16" spans="1:6" x14ac:dyDescent="0.35">
      <c r="A16" s="1" t="s">
        <v>3</v>
      </c>
      <c r="B16" t="s">
        <v>4</v>
      </c>
      <c r="C16" t="s">
        <v>5</v>
      </c>
      <c r="E16">
        <v>14</v>
      </c>
    </row>
    <row r="17" spans="1:6" x14ac:dyDescent="0.35">
      <c r="A17" s="1" t="s">
        <v>94</v>
      </c>
      <c r="B17" t="s">
        <v>95</v>
      </c>
      <c r="C17" t="s">
        <v>96</v>
      </c>
      <c r="D17">
        <v>0</v>
      </c>
      <c r="E17">
        <v>0.38</v>
      </c>
    </row>
    <row r="18" spans="1:6" x14ac:dyDescent="0.35">
      <c r="A18" s="1" t="s">
        <v>97</v>
      </c>
      <c r="B18" t="s">
        <v>98</v>
      </c>
      <c r="C18" t="s">
        <v>99</v>
      </c>
      <c r="D18">
        <v>82.057366080959994</v>
      </c>
    </row>
    <row r="19" spans="1:6" x14ac:dyDescent="0.35">
      <c r="A19" s="1" t="s">
        <v>100</v>
      </c>
      <c r="B19" t="s">
        <v>101</v>
      </c>
      <c r="C19" t="s">
        <v>102</v>
      </c>
      <c r="D19">
        <v>298</v>
      </c>
      <c r="F19" t="s">
        <v>103</v>
      </c>
    </row>
    <row r="20" spans="1:6" x14ac:dyDescent="0.35">
      <c r="A20" s="1" t="s">
        <v>104</v>
      </c>
      <c r="B20" t="s">
        <v>105</v>
      </c>
      <c r="C20" t="s">
        <v>106</v>
      </c>
      <c r="D20">
        <v>24450</v>
      </c>
      <c r="E20">
        <v>24450</v>
      </c>
      <c r="F20" t="s">
        <v>107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70</v>
      </c>
      <c r="B23" t="s">
        <v>71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112</v>
      </c>
      <c r="B28" t="s">
        <v>72</v>
      </c>
      <c r="C28" t="s">
        <v>24</v>
      </c>
    </row>
    <row r="29" spans="1:6" x14ac:dyDescent="0.35">
      <c r="A29" s="1" t="s">
        <v>57</v>
      </c>
      <c r="B29" t="s">
        <v>23</v>
      </c>
      <c r="C29" t="s">
        <v>24</v>
      </c>
    </row>
    <row r="30" spans="1:6" x14ac:dyDescent="0.35">
      <c r="A30" s="1" t="s">
        <v>58</v>
      </c>
      <c r="B30" t="s">
        <v>59</v>
      </c>
      <c r="C30" t="s">
        <v>24</v>
      </c>
    </row>
    <row r="31" spans="1:6" x14ac:dyDescent="0.35">
      <c r="A31" s="1" t="s">
        <v>60</v>
      </c>
      <c r="B31" t="s">
        <v>61</v>
      </c>
    </row>
    <row r="32" spans="1:6" x14ac:dyDescent="0.35">
      <c r="A32" s="1" t="s">
        <v>73</v>
      </c>
      <c r="B32" t="s">
        <v>74</v>
      </c>
      <c r="D32">
        <v>0</v>
      </c>
    </row>
    <row r="33" spans="1:5" x14ac:dyDescent="0.35">
      <c r="A33" s="1" t="s">
        <v>75</v>
      </c>
      <c r="B33" t="s">
        <v>76</v>
      </c>
      <c r="C33" t="s">
        <v>77</v>
      </c>
    </row>
    <row r="34" spans="1:5" x14ac:dyDescent="0.35">
      <c r="A34" s="1" t="s">
        <v>52</v>
      </c>
      <c r="B34" t="s">
        <v>51</v>
      </c>
      <c r="E34">
        <v>6</v>
      </c>
    </row>
    <row r="35" spans="1:5" x14ac:dyDescent="0.35">
      <c r="A35" s="1" t="s">
        <v>108</v>
      </c>
      <c r="B35" t="s">
        <v>53</v>
      </c>
      <c r="C35" t="s">
        <v>109</v>
      </c>
      <c r="E35">
        <v>0</v>
      </c>
    </row>
    <row r="36" spans="1:5" x14ac:dyDescent="0.35">
      <c r="A36" s="1" t="s">
        <v>110</v>
      </c>
      <c r="B36" t="s">
        <v>111</v>
      </c>
      <c r="C36" t="s">
        <v>109</v>
      </c>
      <c r="E36">
        <v>20</v>
      </c>
    </row>
    <row r="37" spans="1:5" x14ac:dyDescent="0.35">
      <c r="A37" s="1" t="s">
        <v>54</v>
      </c>
      <c r="B37" t="s">
        <v>55</v>
      </c>
      <c r="C37" t="s">
        <v>6</v>
      </c>
      <c r="E37">
        <v>234</v>
      </c>
    </row>
    <row r="39" spans="1:5" x14ac:dyDescent="0.35">
      <c r="A39" s="1" t="s">
        <v>0</v>
      </c>
      <c r="B39" s="1" t="s">
        <v>49</v>
      </c>
      <c r="C39" s="1"/>
      <c r="D39" s="1"/>
      <c r="E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591A-ACD7-43E4-B53C-80C4B223183D}">
  <dimension ref="A1:G39"/>
  <sheetViews>
    <sheetView topLeftCell="A11" workbookViewId="0">
      <selection activeCell="A28" sqref="A28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7" x14ac:dyDescent="0.35">
      <c r="A1" s="1" t="s">
        <v>0</v>
      </c>
      <c r="B1" s="1" t="s">
        <v>25</v>
      </c>
      <c r="C1" s="1" t="s">
        <v>26</v>
      </c>
      <c r="D1" s="1" t="s">
        <v>65</v>
      </c>
      <c r="E1" s="1" t="s">
        <v>1</v>
      </c>
      <c r="F1" s="1" t="s">
        <v>27</v>
      </c>
    </row>
    <row r="2" spans="1:7" x14ac:dyDescent="0.35">
      <c r="A2" s="1" t="s">
        <v>28</v>
      </c>
      <c r="B2" t="s">
        <v>29</v>
      </c>
      <c r="E2" t="s">
        <v>30</v>
      </c>
      <c r="F2" t="s">
        <v>66</v>
      </c>
    </row>
    <row r="3" spans="1:7" x14ac:dyDescent="0.35">
      <c r="A3" s="1" t="s">
        <v>31</v>
      </c>
      <c r="B3" t="s">
        <v>32</v>
      </c>
      <c r="E3" t="s">
        <v>33</v>
      </c>
    </row>
    <row r="4" spans="1:7" x14ac:dyDescent="0.35">
      <c r="A4" s="1" t="s">
        <v>34</v>
      </c>
      <c r="B4" t="s">
        <v>35</v>
      </c>
      <c r="E4" t="s">
        <v>36</v>
      </c>
    </row>
    <row r="5" spans="1:7" x14ac:dyDescent="0.35">
      <c r="A5" s="1" t="s">
        <v>37</v>
      </c>
      <c r="B5" t="s">
        <v>38</v>
      </c>
      <c r="C5" t="s">
        <v>39</v>
      </c>
      <c r="E5" t="s">
        <v>40</v>
      </c>
      <c r="F5" t="s">
        <v>67</v>
      </c>
    </row>
    <row r="6" spans="1:7" x14ac:dyDescent="0.35">
      <c r="A6" s="1" t="s">
        <v>41</v>
      </c>
      <c r="B6" t="s">
        <v>42</v>
      </c>
      <c r="C6" t="s">
        <v>43</v>
      </c>
      <c r="E6" t="s">
        <v>44</v>
      </c>
      <c r="F6" t="s">
        <v>68</v>
      </c>
    </row>
    <row r="7" spans="1:7" x14ac:dyDescent="0.35">
      <c r="A7" s="1" t="s">
        <v>45</v>
      </c>
      <c r="B7" t="s">
        <v>46</v>
      </c>
      <c r="C7" t="s">
        <v>47</v>
      </c>
      <c r="E7" t="s">
        <v>48</v>
      </c>
    </row>
    <row r="8" spans="1:7" x14ac:dyDescent="0.35">
      <c r="A8" s="1" t="s">
        <v>91</v>
      </c>
      <c r="B8" t="s">
        <v>92</v>
      </c>
      <c r="C8" t="s">
        <v>83</v>
      </c>
      <c r="E8" t="s">
        <v>89</v>
      </c>
      <c r="F8" t="s">
        <v>93</v>
      </c>
    </row>
    <row r="9" spans="1:7" x14ac:dyDescent="0.35">
      <c r="A9" s="1" t="s">
        <v>90</v>
      </c>
      <c r="B9" t="s">
        <v>79</v>
      </c>
      <c r="C9" t="s">
        <v>83</v>
      </c>
      <c r="E9" t="s">
        <v>88</v>
      </c>
    </row>
    <row r="10" spans="1:7" x14ac:dyDescent="0.35">
      <c r="A10" s="1" t="s">
        <v>64</v>
      </c>
      <c r="B10" t="s">
        <v>80</v>
      </c>
      <c r="C10" t="s">
        <v>62</v>
      </c>
      <c r="F10" t="s">
        <v>69</v>
      </c>
    </row>
    <row r="11" spans="1:7" x14ac:dyDescent="0.35">
      <c r="A11" s="1" t="s">
        <v>81</v>
      </c>
      <c r="B11" t="s">
        <v>82</v>
      </c>
      <c r="C11" t="s">
        <v>83</v>
      </c>
      <c r="E11" t="s">
        <v>88</v>
      </c>
    </row>
    <row r="12" spans="1:7" x14ac:dyDescent="0.35">
      <c r="A12" s="1" t="s">
        <v>84</v>
      </c>
      <c r="B12" t="s">
        <v>85</v>
      </c>
      <c r="C12" t="s">
        <v>83</v>
      </c>
      <c r="E12" t="s">
        <v>88</v>
      </c>
    </row>
    <row r="13" spans="1:7" x14ac:dyDescent="0.35">
      <c r="A13" s="1" t="s">
        <v>86</v>
      </c>
      <c r="B13" t="s">
        <v>87</v>
      </c>
      <c r="C13" t="s">
        <v>83</v>
      </c>
      <c r="E13" t="s">
        <v>89</v>
      </c>
    </row>
    <row r="15" spans="1:7" x14ac:dyDescent="0.35">
      <c r="A15" s="1" t="s">
        <v>0</v>
      </c>
      <c r="B15" s="1" t="s">
        <v>18</v>
      </c>
      <c r="C15" s="1" t="s">
        <v>2</v>
      </c>
      <c r="D15" s="1" t="s">
        <v>65</v>
      </c>
      <c r="E15" s="1" t="s">
        <v>1</v>
      </c>
      <c r="F15" s="2" t="s">
        <v>78</v>
      </c>
    </row>
    <row r="16" spans="1:7" x14ac:dyDescent="0.35">
      <c r="A16" s="1" t="s">
        <v>3</v>
      </c>
      <c r="B16" t="s">
        <v>4</v>
      </c>
      <c r="C16" t="s">
        <v>5</v>
      </c>
      <c r="E16">
        <f>F16/24</f>
        <v>0.25</v>
      </c>
      <c r="F16">
        <v>6</v>
      </c>
      <c r="G16" t="s">
        <v>50</v>
      </c>
    </row>
    <row r="17" spans="1:6" x14ac:dyDescent="0.35">
      <c r="A17" s="1" t="s">
        <v>94</v>
      </c>
      <c r="B17" t="s">
        <v>95</v>
      </c>
      <c r="C17" t="s">
        <v>96</v>
      </c>
      <c r="D17">
        <v>0</v>
      </c>
      <c r="E17">
        <v>0.22500000000000001</v>
      </c>
    </row>
    <row r="18" spans="1:6" x14ac:dyDescent="0.35">
      <c r="A18" s="1" t="s">
        <v>97</v>
      </c>
      <c r="B18" t="s">
        <v>98</v>
      </c>
      <c r="C18" t="s">
        <v>99</v>
      </c>
      <c r="D18">
        <v>82.057366080959994</v>
      </c>
    </row>
    <row r="19" spans="1:6" x14ac:dyDescent="0.35">
      <c r="A19" s="1" t="s">
        <v>100</v>
      </c>
      <c r="B19" t="s">
        <v>101</v>
      </c>
      <c r="C19" t="s">
        <v>102</v>
      </c>
      <c r="D19">
        <v>298</v>
      </c>
      <c r="F19" t="s">
        <v>103</v>
      </c>
    </row>
    <row r="20" spans="1:6" x14ac:dyDescent="0.35">
      <c r="A20" s="1" t="s">
        <v>104</v>
      </c>
      <c r="B20" t="s">
        <v>105</v>
      </c>
      <c r="C20" t="s">
        <v>106</v>
      </c>
      <c r="D20">
        <v>24450</v>
      </c>
      <c r="E20">
        <v>24450</v>
      </c>
      <c r="F20" t="s">
        <v>107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70</v>
      </c>
      <c r="B23" t="s">
        <v>71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  <c r="E24">
        <v>107</v>
      </c>
    </row>
    <row r="25" spans="1:6" x14ac:dyDescent="0.35">
      <c r="A25" s="1" t="s">
        <v>10</v>
      </c>
      <c r="B25" t="s">
        <v>11</v>
      </c>
      <c r="D25">
        <v>0</v>
      </c>
      <c r="E25">
        <v>3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  <c r="E26">
        <v>9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  <c r="E27">
        <v>0</v>
      </c>
    </row>
    <row r="28" spans="1:6" x14ac:dyDescent="0.35">
      <c r="A28" s="1" t="s">
        <v>112</v>
      </c>
      <c r="B28" t="s">
        <v>72</v>
      </c>
      <c r="C28" t="s">
        <v>24</v>
      </c>
    </row>
    <row r="29" spans="1:6" x14ac:dyDescent="0.35">
      <c r="A29" s="1" t="s">
        <v>57</v>
      </c>
      <c r="B29" t="s">
        <v>23</v>
      </c>
      <c r="C29" t="s">
        <v>24</v>
      </c>
    </row>
    <row r="30" spans="1:6" x14ac:dyDescent="0.35">
      <c r="A30" s="1" t="s">
        <v>58</v>
      </c>
      <c r="B30" t="s">
        <v>59</v>
      </c>
      <c r="C30" t="s">
        <v>24</v>
      </c>
    </row>
    <row r="31" spans="1:6" x14ac:dyDescent="0.35">
      <c r="A31" s="1" t="s">
        <v>60</v>
      </c>
      <c r="B31" t="s">
        <v>61</v>
      </c>
    </row>
    <row r="32" spans="1:6" x14ac:dyDescent="0.35">
      <c r="A32" s="1" t="s">
        <v>73</v>
      </c>
      <c r="B32" t="s">
        <v>74</v>
      </c>
      <c r="D32">
        <v>0</v>
      </c>
    </row>
    <row r="33" spans="1:5" x14ac:dyDescent="0.35">
      <c r="A33" s="1" t="s">
        <v>75</v>
      </c>
      <c r="B33" t="s">
        <v>76</v>
      </c>
      <c r="C33" t="s">
        <v>77</v>
      </c>
    </row>
    <row r="34" spans="1:5" x14ac:dyDescent="0.35">
      <c r="A34" s="1" t="s">
        <v>52</v>
      </c>
      <c r="B34" t="s">
        <v>51</v>
      </c>
    </row>
    <row r="35" spans="1:5" x14ac:dyDescent="0.35">
      <c r="A35" s="1" t="s">
        <v>108</v>
      </c>
      <c r="B35" t="s">
        <v>53</v>
      </c>
      <c r="C35" t="s">
        <v>109</v>
      </c>
    </row>
    <row r="36" spans="1:5" x14ac:dyDescent="0.35">
      <c r="A36" s="1" t="s">
        <v>110</v>
      </c>
      <c r="B36" t="s">
        <v>111</v>
      </c>
      <c r="C36" t="s">
        <v>109</v>
      </c>
    </row>
    <row r="37" spans="1:5" x14ac:dyDescent="0.35">
      <c r="A37" s="1" t="s">
        <v>54</v>
      </c>
      <c r="B37" t="s">
        <v>55</v>
      </c>
      <c r="C37" t="s">
        <v>6</v>
      </c>
    </row>
    <row r="39" spans="1:5" x14ac:dyDescent="0.35">
      <c r="A39" s="1" t="s">
        <v>0</v>
      </c>
      <c r="B39" s="1" t="s">
        <v>49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878a2fbfe6fee2aa092ffb79eb0579a1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376b02366c9bc1743b7b5079a857fb71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AE393AF-D13A-4280-965F-0527E409853E}"/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Oral_Periodic_IRIS_T5.11</vt:lpstr>
      <vt:lpstr>Oral_Periodic_IRIS_T5.1</vt:lpstr>
      <vt:lpstr>Inh_Closed_IRIS_FigC3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