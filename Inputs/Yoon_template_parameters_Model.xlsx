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807" documentId="8_{D031EE4F-1494-41E6-A9B6-B336235EFD1E}" xr6:coauthVersionLast="47" xr6:coauthVersionMax="47" xr10:uidLastSave="{1066891E-2BBA-4C53-8584-C4045041273F}"/>
  <bookViews>
    <workbookView xWindow="-23835" yWindow="75" windowWidth="23670" windowHeight="12675" xr2:uid="{089E7848-11EB-427A-89EA-83825F220BA0}"/>
  </bookViews>
  <sheets>
    <sheet name="2mo_VC_noEHM" sheetId="9" r:id="rId1"/>
    <sheet name="2mo_VC_EHM" sheetId="10" r:id="rId2"/>
    <sheet name="2mo_TCE_noEHM" sheetId="12" r:id="rId3"/>
    <sheet name="2mo_TCE_EHM" sheetId="11" r:id="rId4"/>
    <sheet name="2mo_CCl4_noEHM" sheetId="15" r:id="rId5"/>
    <sheet name="2mo_CCl4_EHM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7" i="10" l="1"/>
  <c r="E44" i="10"/>
  <c r="E47" i="11"/>
  <c r="E44" i="11"/>
  <c r="E47" i="14"/>
  <c r="E44" i="14"/>
  <c r="E83" i="15"/>
  <c r="E15" i="15" s="1"/>
  <c r="E16" i="15"/>
  <c r="E83" i="14"/>
  <c r="E15" i="14" s="1"/>
  <c r="E48" i="14"/>
  <c r="E45" i="14"/>
  <c r="E16" i="14"/>
  <c r="E83" i="12"/>
  <c r="E16" i="12"/>
  <c r="E15" i="12"/>
  <c r="E83" i="11"/>
  <c r="E48" i="11"/>
  <c r="E45" i="11"/>
  <c r="E16" i="11"/>
  <c r="E15" i="11"/>
  <c r="E48" i="10"/>
  <c r="E45" i="10"/>
  <c r="E83" i="10"/>
  <c r="E15" i="10" s="1"/>
  <c r="E16" i="10"/>
  <c r="E83" i="9"/>
  <c r="E16" i="9"/>
  <c r="E15" i="9"/>
</calcChain>
</file>

<file path=xl/sharedStrings.xml><?xml version="1.0" encoding="utf-8"?>
<sst xmlns="http://schemas.openxmlformats.org/spreadsheetml/2006/main" count="2130" uniqueCount="261">
  <si>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</si>
  <si>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</si>
  <si>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</si>
  <si>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</si>
  <si>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</si>
  <si>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</si>
  <si>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</si>
  <si>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</si>
  <si>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</si>
  <si>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</si>
  <si>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</si>
  <si>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</si>
  <si>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</si>
  <si>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</si>
  <si>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</si>
  <si>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</si>
  <si>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</si>
  <si>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</si>
  <si>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</si>
  <si>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</si>
  <si>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</si>
  <si>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</si>
  <si>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</si>
  <si>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</si>
  <si>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</si>
  <si>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</si>
  <si>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</si>
  <si>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</si>
  <si>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</si>
  <si>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</si>
  <si>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</si>
  <si>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</si>
  <si>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</si>
  <si>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</si>
  <si>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</si>
  <si>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</si>
  <si>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</si>
  <si>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</si>
  <si>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</si>
  <si>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</si>
  <si>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</si>
  <si>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</si>
  <si>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</si>
  <si>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</si>
  <si>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</si>
  <si>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</si>
  <si>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</si>
  <si>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</si>
  <si>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</si>
  <si>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</si>
  <si>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</si>
  <si>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</si>
  <si>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</si>
  <si>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</si>
  <si>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</si>
  <si>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</si>
  <si>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</si>
  <si>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</si>
  <si>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</si>
  <si>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</si>
  <si>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</si>
  <si>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</si>
  <si>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</si>
  <si>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</si>
  <si>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</si>
  <si>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</si>
  <si>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</si>
  <si>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</si>
  <si>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</si>
  <si>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</si>
  <si>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</si>
  <si>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</si>
  <si>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</si>
  <si>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</si>
  <si>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</si>
  <si>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</si>
  <si>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</si>
  <si>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</si>
  <si>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</si>
  <si>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</si>
  <si>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</si>
  <si>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</si>
  <si>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</si>
  <si>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</si>
  <si>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</si>
  <si>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</si>
  <si>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</si>
  <si>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</si>
  <si>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</si>
  <si>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</si>
  <si>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</si>
  <si>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</si>
  <si>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</si>
  <si>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</si>
  <si>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</si>
  <si>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</si>
  <si>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</si>
  <si>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</si>
  <si>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</si>
  <si>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</si>
  <si>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</si>
  <si>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</si>
  <si>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</si>
  <si>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</si>
  <si>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</si>
  <si>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</si>
  <si>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</si>
  <si>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</si>
  <si>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</si>
  <si>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</si>
  <si>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</si>
  <si>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</si>
  <si>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</si>
  <si>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</si>
  <si>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</si>
  <si>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</si>
  <si>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</si>
  <si>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</si>
  <si>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</si>
  <si>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</si>
  <si>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</si>
  <si>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</si>
  <si>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</si>
  <si>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</si>
  <si>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</si>
  <si>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</si>
  <si>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</si>
  <si>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</si>
  <si>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</si>
  <si>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</si>
  <si>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</si>
  <si>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</si>
  <si>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</si>
  <si>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</si>
  <si>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</si>
  <si>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</si>
  <si>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</si>
  <si>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</si>
  <si>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</si>
  <si>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</si>
  <si>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</si>
  <si>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</si>
  <si>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</si>
  <si>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</si>
  <si>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</si>
  <si>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</si>
  <si>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</si>
  <si>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</si>
  <si>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</si>
  <si>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</si>
  <si>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</si>
  <si>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</si>
  <si>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</si>
  <si>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</si>
  <si>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</si>
  <si>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</si>
  <si>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</si>
  <si>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</si>
  <si>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</si>
  <si>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</si>
  <si>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</si>
  <si>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</si>
  <si>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</si>
  <si>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</si>
  <si>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</si>
  <si>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</si>
  <si>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</si>
  <si>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</si>
  <si>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</si>
  <si>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</si>
  <si>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</si>
  <si>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</si>
  <si>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</si>
  <si>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</si>
  <si>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</si>
  <si>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</si>
  <si>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</si>
  <si>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</si>
  <si>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</si>
  <si>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</si>
  <si>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</si>
  <si>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</si>
  <si>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</si>
  <si>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</si>
  <si>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</si>
  <si>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</si>
  <si>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</si>
  <si>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</si>
  <si>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</si>
  <si>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</si>
  <si>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</si>
  <si>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</si>
  <si>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</si>
  <si>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</si>
  <si>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</si>
  <si>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</si>
  <si>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</si>
  <si>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</si>
  <si>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</si>
  <si>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</si>
  <si>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</si>
  <si>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</si>
  <si>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</si>
  <si>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</si>
  <si>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</si>
  <si>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</si>
  <si>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</si>
  <si>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</si>
  <si>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</si>
  <si>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</si>
  <si>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</si>
  <si>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</si>
  <si>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</si>
  <si>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</si>
  <si>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</si>
  <si>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</si>
  <si>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</si>
  <si>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</si>
  <si>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</si>
  <si>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</si>
  <si>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</si>
  <si>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</si>
  <si>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</si>
  <si>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</si>
  <si>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</si>
  <si>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</si>
  <si>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</si>
  <si>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</si>
  <si>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</si>
  <si>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</si>
  <si>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</si>
  <si>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</si>
  <si>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</si>
  <si>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</si>
  <si>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</si>
  <si>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</si>
  <si>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</si>
  <si>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</si>
  <si>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</si>
  <si>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</si>
  <si>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</si>
  <si>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</si>
  <si>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</si>
  <si>
    <t>rat</t>
  </si>
  <si>
    <t>male</t>
  </si>
  <si>
    <t>mg</t>
  </si>
  <si>
    <t>L</t>
  </si>
  <si>
    <t>h</t>
  </si>
  <si>
    <t>2</t>
  </si>
  <si>
    <t>slowly perfused</t>
  </si>
  <si>
    <t>fat</t>
  </si>
  <si>
    <t>brain</t>
  </si>
  <si>
    <t>rapidly perfused</t>
  </si>
  <si>
    <t>not used</t>
  </si>
  <si>
    <t>(V_invitro_kidney/V_invitro_liver)*(V_ki/V_Li)*V_maxc</t>
  </si>
  <si>
    <t>(V_invitro_lung/V_invitro_liver)*(V_lu/V_Li)*V_maxc</t>
  </si>
  <si>
    <t>VC</t>
  </si>
  <si>
    <t>2 month old</t>
  </si>
  <si>
    <t>TCE</t>
  </si>
  <si>
    <t>CCl4</t>
  </si>
  <si>
    <t>Value not provided in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</si>
</sst>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H105"/>
  <sheetViews>
    <sheetView tabSelected="1" topLeftCell="A19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256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62.5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2.7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0.1</v>
      </c>
      <c r="F42">
        <v>0.01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2.4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0.7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0.7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10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0.7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0.7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0.7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35" priority="4" operator="greaterThan">
      <formula>0</formula>
    </cfRule>
    <cfRule type="cellIs" dxfId="34" priority="5" operator="lessThan">
      <formula>0</formula>
    </cfRule>
    <cfRule type="cellIs" dxfId="33" priority="6" operator="equal">
      <formula>0</formula>
    </cfRule>
  </conditionalFormatting>
  <conditionalFormatting sqref="E16">
    <cfRule type="cellIs" dxfId="32" priority="1" operator="lessThan">
      <formula>0.8</formula>
    </cfRule>
    <cfRule type="cellIs" dxfId="31" priority="2" operator="greaterThan">
      <formula>1.2</formula>
    </cfRule>
    <cfRule type="cellIs" dxfId="3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4C27-B6E0-4A0D-B292-81C879A8192C}">
  <dimension ref="A1:H105"/>
  <sheetViews>
    <sheetView topLeftCell="A19" zoomScaleNormal="100" workbookViewId="0">
      <selection activeCell="E46" sqref="E46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256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62.5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2.65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0.1</v>
      </c>
      <c r="F42">
        <v>0.01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(0.65/13.7)*(E75/E67)*E41</f>
        <v>2.4532668684351076E-2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0.1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2.0719096789508042E-2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0.1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2.4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0.7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0.7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10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0.7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0.7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0.7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29" priority="4" operator="greaterThan">
      <formula>0</formula>
    </cfRule>
    <cfRule type="cellIs" dxfId="28" priority="5" operator="lessThan">
      <formula>0</formula>
    </cfRule>
    <cfRule type="cellIs" dxfId="27" priority="6" operator="equal">
      <formula>0</formula>
    </cfRule>
  </conditionalFormatting>
  <conditionalFormatting sqref="E16">
    <cfRule type="cellIs" dxfId="26" priority="1" operator="lessThan">
      <formula>0.8</formula>
    </cfRule>
    <cfRule type="cellIs" dxfId="25" priority="2" operator="greaterThan">
      <formula>1.2</formula>
    </cfRule>
    <cfRule type="cellIs" dxfId="24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B6D1-B456-4CA7-A0E5-EE5EF20AEC06}">
  <dimension ref="A1:H105"/>
  <sheetViews>
    <sheetView topLeftCell="A19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258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131.4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9.59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0.32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21.9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1.24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0.46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1.24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0.46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25.3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1.24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1.24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1.24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D1E4-1291-48AB-97F1-EECFF214E0D3}">
  <dimension ref="A1:H105"/>
  <sheetViews>
    <sheetView topLeftCell="A22" zoomScaleNormal="100" workbookViewId="0">
      <selection activeCell="E48" sqref="E48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258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131.4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9.48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0.35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(0.65/13.7)*((E75)/(E67))*E41</f>
        <v>8.7762150614206877E-2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0.35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7.4119636816806125E-2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0.35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21.9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1.24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0.46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1.24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0.46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25.3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1.24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1.24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1.24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6A4D-2683-4843-B6E1-6BE5AC4B2697}">
  <dimension ref="A1:H105"/>
  <sheetViews>
    <sheetView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259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153.82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0.13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1.1000000000000001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5.49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2.95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2.4300000000000002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2.95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2.4300000000000002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51.3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2.95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2.95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2.95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71BE-0569-42B3-92CF-188834673786}">
  <dimension ref="A1:H105"/>
  <sheetViews>
    <sheetView topLeftCell="A13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259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153.82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0.13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1.1399999999999999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(0.65/13.7)*((E75)/(E67))*E41</f>
        <v>1.2034894071568454E-3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1.1399999999999999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1.016408521749451E-3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1.1399999999999999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5.49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2.95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2.4300000000000002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2.95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2.4300000000000002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51.3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2.95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2.95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2.95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2mo_VC_noEHM</vt:lpstr>
      <vt:lpstr>2mo_VC_EHM</vt:lpstr>
      <vt:lpstr>2mo_TCE_noEHM</vt:lpstr>
      <vt:lpstr>2mo_TCE_EHM</vt:lpstr>
      <vt:lpstr>2mo_CCl4_noEHM</vt:lpstr>
      <vt:lpstr>2mo_CCl4_EHM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2023-02-01T20:21:33Z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