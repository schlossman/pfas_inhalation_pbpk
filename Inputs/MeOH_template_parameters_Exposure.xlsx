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654" documentId="8_{D031EE4F-1494-41E6-A9B6-B336235EFD1E}" xr6:coauthVersionLast="47" xr6:coauthVersionMax="47" xr10:uidLastSave="{7B5047C2-2519-4B93-8710-EE0A183897E7}"/>
  <bookViews>
    <workbookView xWindow="-110" yWindow="-110" windowWidth="19420" windowHeight="10420" xr2:uid="{089E7848-11EB-427A-89EA-83825F220BA0}"/>
  </bookViews>
  <sheets>
    <sheet name="Ward_rat_iv_2500" sheetId="19" r:id="rId1"/>
    <sheet name="Ward_rat_iv_100" sheetId="29" r:id="rId2"/>
    <sheet name="Perkins_rat_inh_1000ppm" sheetId="20" r:id="rId3"/>
    <sheet name="Perkins_rat_inh_8hr" sheetId="21" r:id="rId4"/>
    <sheet name="Ward_oral_100" sheetId="22" r:id="rId5"/>
    <sheet name="Ward_oral_2500" sheetId="23" r:id="rId6"/>
    <sheet name="Sedivec_inh_231ppm" sheetId="24" r:id="rId7"/>
    <sheet name="Sedivec_inh_157ppm" sheetId="25" r:id="rId8"/>
    <sheet name="Sedivec_inh_78ppm" sheetId="26" r:id="rId9"/>
    <sheet name="Schmutte_oral_human" sheetId="27" r:id="rId10"/>
    <sheet name="Haffner_iv_human" sheetId="2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0" i="29" l="1"/>
  <c r="E16" i="29"/>
  <c r="E20" i="28"/>
  <c r="E20" i="27"/>
  <c r="E20" i="26"/>
  <c r="E20" i="25"/>
  <c r="E20" i="24"/>
  <c r="E20" i="23"/>
  <c r="E20" i="22"/>
  <c r="E20" i="21"/>
  <c r="E20" i="20"/>
  <c r="E20" i="19"/>
  <c r="E16" i="28"/>
  <c r="E16" i="27"/>
  <c r="E33" i="26"/>
  <c r="E16" i="26"/>
  <c r="E33" i="25"/>
  <c r="E16" i="25"/>
  <c r="E33" i="24"/>
  <c r="E16" i="24"/>
  <c r="E16" i="23"/>
  <c r="E16" i="22"/>
  <c r="E16" i="21"/>
  <c r="E16" i="20"/>
  <c r="E16" i="19"/>
</calcChain>
</file>

<file path=xl/sharedStrings.xml><?xml version="1.0" encoding="utf-8"?>
<sst xmlns="http://schemas.openxmlformats.org/spreadsheetml/2006/main" count="1400" uniqueCount="115">
  <si>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</si>
  <si>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</si>
  <si>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</si>
  <si>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</si>
  <si>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</si>
  <si>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</si>
  <si>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</si>
  <si>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</si>
  <si>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</si>
  <si>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</si>
  <si>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</si>
  <si>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</si>
  <si>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</si>
  <si>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</si>
  <si>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</si>
  <si>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</si>
  <si>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</si>
  <si>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</si>
  <si>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</si>
  <si>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</si>
  <si>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</si>
  <si>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</si>
  <si>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</si>
  <si>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</si>
  <si>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</si>
  <si>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</si>
  <si>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</si>
  <si>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</si>
  <si>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</si>
  <si>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</si>
  <si>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</si>
  <si>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</si>
  <si>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rat</t>
  </si>
  <si>
    <t>sex</t>
  </si>
  <si>
    <t>Sex</t>
  </si>
  <si>
    <t>male</t>
  </si>
  <si>
    <t>M.units</t>
  </si>
  <si>
    <t>Mass units</t>
  </si>
  <si>
    <t>mg, ug, ng</t>
  </si>
  <si>
    <t>mg</t>
  </si>
  <si>
    <t>V.units</t>
  </si>
  <si>
    <t>Volume units</t>
  </si>
  <si>
    <t>mL, L</t>
  </si>
  <si>
    <t>L</t>
  </si>
  <si>
    <t>T.units</t>
  </si>
  <si>
    <t>Time units</t>
  </si>
  <si>
    <t>min, h, days</t>
  </si>
  <si>
    <t>h</t>
  </si>
  <si>
    <t>End of File</t>
  </si>
  <si>
    <t>hours</t>
  </si>
  <si>
    <t>MeOh</t>
  </si>
  <si>
    <t>female</t>
  </si>
  <si>
    <t>Inhalation: End time of exposure (single exposure)</t>
  </si>
  <si>
    <t>human</t>
  </si>
  <si>
    <t>T_iv_infuse</t>
  </si>
  <si>
    <t>IV: Infusion Time</t>
  </si>
  <si>
    <t>R_0bgli</t>
  </si>
  <si>
    <t>Zero Order rate of endogenous production in liver</t>
  </si>
  <si>
    <t>C_ven_SS</t>
  </si>
  <si>
    <t>Concentration in venous blood at steady state</t>
  </si>
  <si>
    <t>mg/L</t>
  </si>
  <si>
    <t>CVBBG + incbg*vCVBBG + RUR0*(0.5e-3)/(K1*VVBC), CVBBG = 0, incbg = 0, RUR0 = 0.971429, K1 = 0.034*70^-0.25, VVBC = 0.0593</t>
  </si>
  <si>
    <t>CVBBG + incbg*vCVBBG + RUR0*(0.5e-3)/(K1*VVBC), CVBBG = 0, incbg = 0, RUR0 = 0.887072, K1 = 0.034*70^-0.25, VVBC = 0.0593</t>
  </si>
  <si>
    <t>CVBBG + incbg*vCVBBG + RUR0*(0.5e-3)/(K1*VVBC), CVBBG = 0, incbg = 0, RUR0 = 0.786793, K1 = 0.034*70^-0.25, VVBC = 0.0593</t>
  </si>
  <si>
    <t>Default Value</t>
  </si>
  <si>
    <t>Columns F and further right can be used for notes and will not be used by the model simulation code.</t>
  </si>
  <si>
    <t>Use the units specified here for the parameters below unless otherwise specified.</t>
  </si>
  <si>
    <t>The model is automatically converted to, run, and output in units of mg, L, h.</t>
  </si>
  <si>
    <t>water.equal</t>
  </si>
  <si>
    <t>equal, unequal</t>
  </si>
  <si>
    <t>provide proportions in R script if unequal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</si>
  <si>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</si>
  <si>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</si>
  <si>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</si>
  <si>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</si>
  <si>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</si>
  <si>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</si>
  <si>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</si>
  <si>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</si>
  <si>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</si>
  <si>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</si>
  <si>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 dosing (periodic bolus oral dosing)</t>
  </si>
  <si>
    <t>If water dosing, is the dose assumed equally proportioned over the day?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</si>
  <si>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</si>
  <si>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</si>
  <si>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</si>
  <si>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</si>
  <si>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</si>
  <si>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</si>
  <si>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</si>
  <si>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N</t>
  </si>
  <si>
    <t>Y</t>
  </si>
  <si>
    <t>water.dose</t>
  </si>
  <si>
    <t>BW_constant</t>
  </si>
  <si>
    <t>Body weight is constant?</t>
  </si>
  <si>
    <t>For non-constant BW, specify table of body weights vs time in R scripts</t>
  </si>
  <si>
    <t>BW</t>
  </si>
  <si>
    <t>Body Mass</t>
  </si>
  <si>
    <t>kg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</si>
  <si>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</si>
  <si>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</si>
  <si>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</si>
  <si>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</si>
  <si>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</si>
  <si>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</si>
  <si>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</si>
  <si>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</si>
  <si>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</si>
  <si>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</si>
  <si>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*This quantity divides the molecular weight to obtain a conversation factor that takes a concentration of chemical from units of ppm to units of mg/L.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</si>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</sst>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7A5A-4D8D-4848-968C-A8936C5FA7E5}">
  <dimension ref="A1:G39"/>
  <sheetViews>
    <sheetView tabSelected="1" topLeftCell="A13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32</v>
      </c>
    </row>
    <row r="4" spans="1:7" x14ac:dyDescent="0.35">
      <c r="A4" s="1" t="s">
        <v>33</v>
      </c>
      <c r="B4" t="s">
        <v>34</v>
      </c>
      <c r="E4" t="s">
        <v>35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90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91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90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2.0833333333333335</v>
      </c>
      <c r="F16">
        <v>50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0.3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  <c r="E22">
        <v>2500</v>
      </c>
    </row>
    <row r="23" spans="1:6" x14ac:dyDescent="0.35">
      <c r="A23" s="1" t="s">
        <v>54</v>
      </c>
      <c r="B23" t="s">
        <v>55</v>
      </c>
      <c r="C23" t="s">
        <v>24</v>
      </c>
      <c r="E23">
        <v>2.5000000000000001E-2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114</v>
      </c>
      <c r="B28" t="s">
        <v>52</v>
      </c>
      <c r="C28" t="s">
        <v>24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5" x14ac:dyDescent="0.35">
      <c r="A33" s="1" t="s">
        <v>58</v>
      </c>
      <c r="B33" t="s">
        <v>59</v>
      </c>
      <c r="C33" t="s">
        <v>60</v>
      </c>
      <c r="E33">
        <v>3</v>
      </c>
    </row>
    <row r="34" spans="1:5" x14ac:dyDescent="0.35">
      <c r="A34" s="1" t="s">
        <v>76</v>
      </c>
      <c r="B34" t="s">
        <v>77</v>
      </c>
    </row>
    <row r="35" spans="1:5" x14ac:dyDescent="0.35">
      <c r="A35" s="1" t="s">
        <v>110</v>
      </c>
      <c r="B35" t="s">
        <v>78</v>
      </c>
      <c r="C35" t="s">
        <v>111</v>
      </c>
    </row>
    <row r="36" spans="1:5" x14ac:dyDescent="0.35">
      <c r="A36" s="1" t="s">
        <v>112</v>
      </c>
      <c r="B36" t="s">
        <v>113</v>
      </c>
      <c r="C36" t="s">
        <v>111</v>
      </c>
    </row>
    <row r="37" spans="1:5" x14ac:dyDescent="0.35">
      <c r="A37" s="1" t="s">
        <v>79</v>
      </c>
      <c r="B37" t="s">
        <v>80</v>
      </c>
      <c r="C37" t="s">
        <v>6</v>
      </c>
    </row>
    <row r="39" spans="1:5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2870-694C-46F7-B344-872494E53DEB}">
  <dimension ref="A1:G39"/>
  <sheetViews>
    <sheetView topLeftCell="A10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32</v>
      </c>
    </row>
    <row r="4" spans="1:7" x14ac:dyDescent="0.35">
      <c r="A4" s="1" t="s">
        <v>33</v>
      </c>
      <c r="B4" t="s">
        <v>34</v>
      </c>
      <c r="E4" t="s">
        <v>35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90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91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90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2.0833333333333335</v>
      </c>
      <c r="F16">
        <v>50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0.3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  <c r="E22">
        <v>100</v>
      </c>
    </row>
    <row r="23" spans="1:6" x14ac:dyDescent="0.35">
      <c r="A23" s="1" t="s">
        <v>54</v>
      </c>
      <c r="B23" t="s">
        <v>55</v>
      </c>
      <c r="C23" t="s">
        <v>24</v>
      </c>
      <c r="E23">
        <v>2.5000000000000001E-3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114</v>
      </c>
      <c r="B28" t="s">
        <v>52</v>
      </c>
      <c r="C28" t="s">
        <v>24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5" x14ac:dyDescent="0.35">
      <c r="A33" s="1" t="s">
        <v>58</v>
      </c>
      <c r="B33" t="s">
        <v>59</v>
      </c>
      <c r="C33" t="s">
        <v>60</v>
      </c>
      <c r="E33">
        <v>3</v>
      </c>
    </row>
    <row r="34" spans="1:5" x14ac:dyDescent="0.35">
      <c r="A34" s="1" t="s">
        <v>76</v>
      </c>
      <c r="B34" t="s">
        <v>77</v>
      </c>
    </row>
    <row r="35" spans="1:5" x14ac:dyDescent="0.35">
      <c r="A35" s="1" t="s">
        <v>110</v>
      </c>
      <c r="B35" t="s">
        <v>78</v>
      </c>
      <c r="C35" t="s">
        <v>111</v>
      </c>
    </row>
    <row r="36" spans="1:5" x14ac:dyDescent="0.35">
      <c r="A36" s="1" t="s">
        <v>112</v>
      </c>
      <c r="B36" t="s">
        <v>113</v>
      </c>
      <c r="C36" t="s">
        <v>111</v>
      </c>
    </row>
    <row r="37" spans="1:5" x14ac:dyDescent="0.35">
      <c r="A37" s="1" t="s">
        <v>79</v>
      </c>
      <c r="B37" t="s">
        <v>80</v>
      </c>
      <c r="C37" t="s">
        <v>6</v>
      </c>
    </row>
    <row r="39" spans="1:5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4DFD-5F06-4CA9-A58B-95A6596A2848}">
  <dimension ref="A1:G39"/>
  <sheetViews>
    <sheetView topLeftCell="A19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32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90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90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91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0.35416666666666669</v>
      </c>
      <c r="F16">
        <v>8.5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0.3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54</v>
      </c>
      <c r="B23" t="s">
        <v>55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1000</v>
      </c>
    </row>
    <row r="25" spans="1:6" x14ac:dyDescent="0.35">
      <c r="A25" s="1" t="s">
        <v>10</v>
      </c>
      <c r="B25" t="s">
        <v>11</v>
      </c>
      <c r="D25">
        <v>0</v>
      </c>
      <c r="E25">
        <v>1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  <c r="E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  <c r="E27">
        <v>0</v>
      </c>
    </row>
    <row r="28" spans="1:6" x14ac:dyDescent="0.35">
      <c r="A28" s="1" t="s">
        <v>114</v>
      </c>
      <c r="B28" t="s">
        <v>52</v>
      </c>
      <c r="C28" t="s">
        <v>24</v>
      </c>
      <c r="E28">
        <v>8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5" x14ac:dyDescent="0.35">
      <c r="A33" s="1" t="s">
        <v>58</v>
      </c>
      <c r="B33" t="s">
        <v>59</v>
      </c>
      <c r="C33" t="s">
        <v>60</v>
      </c>
      <c r="E33">
        <v>3</v>
      </c>
    </row>
    <row r="34" spans="1:5" x14ac:dyDescent="0.35">
      <c r="A34" s="1" t="s">
        <v>76</v>
      </c>
      <c r="B34" t="s">
        <v>77</v>
      </c>
    </row>
    <row r="35" spans="1:5" x14ac:dyDescent="0.35">
      <c r="A35" s="1" t="s">
        <v>110</v>
      </c>
      <c r="B35" t="s">
        <v>78</v>
      </c>
      <c r="C35" t="s">
        <v>111</v>
      </c>
    </row>
    <row r="36" spans="1:5" x14ac:dyDescent="0.35">
      <c r="A36" s="1" t="s">
        <v>112</v>
      </c>
      <c r="B36" t="s">
        <v>113</v>
      </c>
      <c r="C36" t="s">
        <v>111</v>
      </c>
    </row>
    <row r="37" spans="1:5" x14ac:dyDescent="0.35">
      <c r="A37" s="1" t="s">
        <v>79</v>
      </c>
      <c r="B37" t="s">
        <v>80</v>
      </c>
      <c r="C37" t="s">
        <v>6</v>
      </c>
    </row>
    <row r="39" spans="1:5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4105-7A1E-4958-9CD6-3CF6FFB54A1E}">
  <dimension ref="A1:G39"/>
  <sheetViews>
    <sheetView topLeftCell="A22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32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90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90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91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0.33333333333333331</v>
      </c>
      <c r="F16">
        <v>8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0.3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54</v>
      </c>
      <c r="B23" t="s">
        <v>55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1000</v>
      </c>
    </row>
    <row r="25" spans="1:6" x14ac:dyDescent="0.35">
      <c r="A25" s="1" t="s">
        <v>10</v>
      </c>
      <c r="B25" t="s">
        <v>11</v>
      </c>
      <c r="D25">
        <v>0</v>
      </c>
      <c r="E25">
        <v>1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  <c r="E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  <c r="E27">
        <v>0</v>
      </c>
    </row>
    <row r="28" spans="1:6" x14ac:dyDescent="0.35">
      <c r="A28" s="1" t="s">
        <v>114</v>
      </c>
      <c r="B28" t="s">
        <v>52</v>
      </c>
      <c r="C28" t="s">
        <v>24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5" x14ac:dyDescent="0.35">
      <c r="A33" s="1" t="s">
        <v>58</v>
      </c>
      <c r="B33" t="s">
        <v>59</v>
      </c>
      <c r="C33" t="s">
        <v>60</v>
      </c>
      <c r="E33">
        <v>3</v>
      </c>
    </row>
    <row r="34" spans="1:5" x14ac:dyDescent="0.35">
      <c r="A34" s="1" t="s">
        <v>76</v>
      </c>
      <c r="B34" t="s">
        <v>77</v>
      </c>
    </row>
    <row r="35" spans="1:5" x14ac:dyDescent="0.35">
      <c r="A35" s="1" t="s">
        <v>110</v>
      </c>
      <c r="B35" t="s">
        <v>78</v>
      </c>
      <c r="C35" t="s">
        <v>111</v>
      </c>
    </row>
    <row r="36" spans="1:5" x14ac:dyDescent="0.35">
      <c r="A36" s="1" t="s">
        <v>112</v>
      </c>
      <c r="B36" t="s">
        <v>113</v>
      </c>
      <c r="C36" t="s">
        <v>111</v>
      </c>
    </row>
    <row r="37" spans="1:5" x14ac:dyDescent="0.35">
      <c r="A37" s="1" t="s">
        <v>79</v>
      </c>
      <c r="B37" t="s">
        <v>80</v>
      </c>
      <c r="C37" t="s">
        <v>6</v>
      </c>
    </row>
    <row r="39" spans="1:5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B2C8-FA3A-47CC-AAD8-9C4D449F7D78}">
  <dimension ref="A1:G39"/>
  <sheetViews>
    <sheetView topLeftCell="A16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32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91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90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90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0.33333333333333331</v>
      </c>
      <c r="F16">
        <v>8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0.3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100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54</v>
      </c>
      <c r="B23" t="s">
        <v>55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114</v>
      </c>
      <c r="B28" t="s">
        <v>52</v>
      </c>
      <c r="C28" t="s">
        <v>24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5" x14ac:dyDescent="0.35">
      <c r="A33" s="1" t="s">
        <v>58</v>
      </c>
      <c r="B33" t="s">
        <v>59</v>
      </c>
      <c r="C33" t="s">
        <v>60</v>
      </c>
      <c r="E33">
        <v>3</v>
      </c>
    </row>
    <row r="34" spans="1:5" x14ac:dyDescent="0.35">
      <c r="A34" s="1" t="s">
        <v>76</v>
      </c>
      <c r="B34" t="s">
        <v>77</v>
      </c>
    </row>
    <row r="35" spans="1:5" x14ac:dyDescent="0.35">
      <c r="A35" s="1" t="s">
        <v>110</v>
      </c>
      <c r="B35" t="s">
        <v>78</v>
      </c>
      <c r="C35" t="s">
        <v>111</v>
      </c>
    </row>
    <row r="36" spans="1:5" x14ac:dyDescent="0.35">
      <c r="A36" s="1" t="s">
        <v>112</v>
      </c>
      <c r="B36" t="s">
        <v>113</v>
      </c>
      <c r="C36" t="s">
        <v>111</v>
      </c>
    </row>
    <row r="37" spans="1:5" x14ac:dyDescent="0.35">
      <c r="A37" s="1" t="s">
        <v>79</v>
      </c>
      <c r="B37" t="s">
        <v>80</v>
      </c>
      <c r="C37" t="s">
        <v>6</v>
      </c>
    </row>
    <row r="39" spans="1:5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3716-DC30-4730-8765-FFAAFF9C180E}">
  <dimension ref="A1:G39"/>
  <sheetViews>
    <sheetView topLeftCell="A22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32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91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90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90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2.2916666666666665</v>
      </c>
      <c r="F16">
        <v>55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0.3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2500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54</v>
      </c>
      <c r="B23" t="s">
        <v>55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114</v>
      </c>
      <c r="B28" t="s">
        <v>52</v>
      </c>
      <c r="C28" t="s">
        <v>24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5" x14ac:dyDescent="0.35">
      <c r="A33" s="1" t="s">
        <v>58</v>
      </c>
      <c r="B33" t="s">
        <v>59</v>
      </c>
      <c r="C33" t="s">
        <v>60</v>
      </c>
      <c r="E33">
        <v>3</v>
      </c>
    </row>
    <row r="34" spans="1:5" x14ac:dyDescent="0.35">
      <c r="A34" s="1" t="s">
        <v>76</v>
      </c>
      <c r="B34" t="s">
        <v>77</v>
      </c>
    </row>
    <row r="35" spans="1:5" x14ac:dyDescent="0.35">
      <c r="A35" s="1" t="s">
        <v>110</v>
      </c>
      <c r="B35" t="s">
        <v>78</v>
      </c>
      <c r="C35" t="s">
        <v>111</v>
      </c>
    </row>
    <row r="36" spans="1:5" x14ac:dyDescent="0.35">
      <c r="A36" s="1" t="s">
        <v>112</v>
      </c>
      <c r="B36" t="s">
        <v>113</v>
      </c>
      <c r="C36" t="s">
        <v>111</v>
      </c>
    </row>
    <row r="37" spans="1:5" x14ac:dyDescent="0.35">
      <c r="A37" s="1" t="s">
        <v>79</v>
      </c>
      <c r="B37" t="s">
        <v>80</v>
      </c>
      <c r="C37" t="s">
        <v>6</v>
      </c>
    </row>
    <row r="39" spans="1:5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B5CD-9FC7-411F-A67F-0714C65B7625}">
  <dimension ref="A1:G39"/>
  <sheetViews>
    <sheetView topLeftCell="A19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53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90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90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91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1</v>
      </c>
      <c r="F16">
        <v>24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70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54</v>
      </c>
      <c r="B23" t="s">
        <v>55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231</v>
      </c>
    </row>
    <row r="25" spans="1:6" x14ac:dyDescent="0.35">
      <c r="A25" s="1" t="s">
        <v>10</v>
      </c>
      <c r="B25" t="s">
        <v>11</v>
      </c>
      <c r="D25">
        <v>0</v>
      </c>
      <c r="E25">
        <v>1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  <c r="E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  <c r="E27">
        <v>0</v>
      </c>
    </row>
    <row r="28" spans="1:6" x14ac:dyDescent="0.35">
      <c r="A28" s="1" t="s">
        <v>114</v>
      </c>
      <c r="B28" t="s">
        <v>52</v>
      </c>
      <c r="C28" t="s">
        <v>24</v>
      </c>
      <c r="E28">
        <v>8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6" x14ac:dyDescent="0.35">
      <c r="A33" s="1" t="s">
        <v>58</v>
      </c>
      <c r="B33" t="s">
        <v>59</v>
      </c>
      <c r="C33" t="s">
        <v>60</v>
      </c>
      <c r="E33">
        <f>0.971429*0.0005/(0.034*(70^-0.25)*0.0593)</f>
        <v>0.69682218372088089</v>
      </c>
      <c r="F33" t="s">
        <v>61</v>
      </c>
    </row>
    <row r="34" spans="1:6" x14ac:dyDescent="0.35">
      <c r="A34" s="1" t="s">
        <v>76</v>
      </c>
      <c r="B34" t="s">
        <v>77</v>
      </c>
    </row>
    <row r="35" spans="1:6" x14ac:dyDescent="0.35">
      <c r="A35" s="1" t="s">
        <v>110</v>
      </c>
      <c r="B35" t="s">
        <v>78</v>
      </c>
      <c r="C35" t="s">
        <v>111</v>
      </c>
    </row>
    <row r="36" spans="1:6" x14ac:dyDescent="0.35">
      <c r="A36" s="1" t="s">
        <v>112</v>
      </c>
      <c r="B36" t="s">
        <v>113</v>
      </c>
      <c r="C36" t="s">
        <v>111</v>
      </c>
    </row>
    <row r="37" spans="1:6" x14ac:dyDescent="0.35">
      <c r="A37" s="1" t="s">
        <v>79</v>
      </c>
      <c r="B37" t="s">
        <v>80</v>
      </c>
      <c r="C37" t="s">
        <v>6</v>
      </c>
    </row>
    <row r="39" spans="1:6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CEF1-5601-4130-B114-E1588CF9D64F}">
  <dimension ref="A1:G39"/>
  <sheetViews>
    <sheetView topLeftCell="A22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53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90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90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91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1</v>
      </c>
      <c r="F16">
        <v>24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70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54</v>
      </c>
      <c r="B23" t="s">
        <v>55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157</v>
      </c>
    </row>
    <row r="25" spans="1:6" x14ac:dyDescent="0.35">
      <c r="A25" s="1" t="s">
        <v>10</v>
      </c>
      <c r="B25" t="s">
        <v>11</v>
      </c>
      <c r="D25">
        <v>0</v>
      </c>
      <c r="E25">
        <v>1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  <c r="E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  <c r="E27">
        <v>0</v>
      </c>
    </row>
    <row r="28" spans="1:6" x14ac:dyDescent="0.35">
      <c r="A28" s="1" t="s">
        <v>114</v>
      </c>
      <c r="B28" t="s">
        <v>52</v>
      </c>
      <c r="C28" t="s">
        <v>24</v>
      </c>
      <c r="E28">
        <v>8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6" x14ac:dyDescent="0.35">
      <c r="A33" s="1" t="s">
        <v>58</v>
      </c>
      <c r="B33" t="s">
        <v>59</v>
      </c>
      <c r="C33" t="s">
        <v>60</v>
      </c>
      <c r="E33">
        <f>0.887072*0.0005/(0.034*(70^-0.25)*0.0593)</f>
        <v>0.63631150414250481</v>
      </c>
      <c r="F33" t="s">
        <v>62</v>
      </c>
    </row>
    <row r="34" spans="1:6" x14ac:dyDescent="0.35">
      <c r="A34" s="1" t="s">
        <v>76</v>
      </c>
      <c r="B34" t="s">
        <v>77</v>
      </c>
    </row>
    <row r="35" spans="1:6" x14ac:dyDescent="0.35">
      <c r="A35" s="1" t="s">
        <v>110</v>
      </c>
      <c r="B35" t="s">
        <v>78</v>
      </c>
      <c r="C35" t="s">
        <v>111</v>
      </c>
    </row>
    <row r="36" spans="1:6" x14ac:dyDescent="0.35">
      <c r="A36" s="1" t="s">
        <v>112</v>
      </c>
      <c r="B36" t="s">
        <v>113</v>
      </c>
      <c r="C36" t="s">
        <v>111</v>
      </c>
    </row>
    <row r="37" spans="1:6" x14ac:dyDescent="0.35">
      <c r="A37" s="1" t="s">
        <v>79</v>
      </c>
      <c r="B37" t="s">
        <v>80</v>
      </c>
      <c r="C37" t="s">
        <v>6</v>
      </c>
    </row>
    <row r="39" spans="1:6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0511-DBEF-4050-A795-174F5B2E9F3D}">
  <dimension ref="A1:G39"/>
  <sheetViews>
    <sheetView topLeftCell="A22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53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90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90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91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1</v>
      </c>
      <c r="F16">
        <v>24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70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54</v>
      </c>
      <c r="B23" t="s">
        <v>55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78</v>
      </c>
    </row>
    <row r="25" spans="1:6" x14ac:dyDescent="0.35">
      <c r="A25" s="1" t="s">
        <v>10</v>
      </c>
      <c r="B25" t="s">
        <v>11</v>
      </c>
      <c r="D25">
        <v>0</v>
      </c>
      <c r="E25">
        <v>1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  <c r="E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  <c r="E27">
        <v>0</v>
      </c>
    </row>
    <row r="28" spans="1:6" x14ac:dyDescent="0.35">
      <c r="A28" s="1" t="s">
        <v>114</v>
      </c>
      <c r="B28" t="s">
        <v>52</v>
      </c>
      <c r="C28" t="s">
        <v>24</v>
      </c>
      <c r="E28">
        <v>8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6" x14ac:dyDescent="0.35">
      <c r="A33" s="1" t="s">
        <v>58</v>
      </c>
      <c r="B33" t="s">
        <v>59</v>
      </c>
      <c r="C33" t="s">
        <v>60</v>
      </c>
      <c r="E33">
        <f>0.786793*0.0005/(0.034*(70^-0.25)*0.0593)</f>
        <v>0.56437970906396961</v>
      </c>
      <c r="F33" t="s">
        <v>63</v>
      </c>
    </row>
    <row r="34" spans="1:6" x14ac:dyDescent="0.35">
      <c r="A34" s="1" t="s">
        <v>76</v>
      </c>
      <c r="B34" t="s">
        <v>77</v>
      </c>
    </row>
    <row r="35" spans="1:6" x14ac:dyDescent="0.35">
      <c r="A35" s="1" t="s">
        <v>110</v>
      </c>
      <c r="B35" t="s">
        <v>78</v>
      </c>
      <c r="C35" t="s">
        <v>111</v>
      </c>
    </row>
    <row r="36" spans="1:6" x14ac:dyDescent="0.35">
      <c r="A36" s="1" t="s">
        <v>112</v>
      </c>
      <c r="B36" t="s">
        <v>113</v>
      </c>
      <c r="C36" t="s">
        <v>111</v>
      </c>
    </row>
    <row r="37" spans="1:6" x14ac:dyDescent="0.35">
      <c r="A37" s="1" t="s">
        <v>79</v>
      </c>
      <c r="B37" t="s">
        <v>80</v>
      </c>
      <c r="C37" t="s">
        <v>6</v>
      </c>
    </row>
    <row r="39" spans="1:6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8DC5-2205-4412-9754-651FCF7E2848}">
  <dimension ref="A1:G39"/>
  <sheetViews>
    <sheetView topLeftCell="A19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53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91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90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90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6.6666666666666666E-2</v>
      </c>
      <c r="F16">
        <v>1.6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70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10.199999999999999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54</v>
      </c>
      <c r="B23" t="s">
        <v>55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114</v>
      </c>
      <c r="B28" t="s">
        <v>52</v>
      </c>
      <c r="C28" t="s">
        <v>24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5" x14ac:dyDescent="0.35">
      <c r="A33" s="1" t="s">
        <v>58</v>
      </c>
      <c r="B33" t="s">
        <v>59</v>
      </c>
      <c r="C33" t="s">
        <v>60</v>
      </c>
      <c r="E33">
        <v>1.1000000000000001</v>
      </c>
    </row>
    <row r="34" spans="1:5" x14ac:dyDescent="0.35">
      <c r="A34" s="1" t="s">
        <v>76</v>
      </c>
      <c r="B34" t="s">
        <v>77</v>
      </c>
    </row>
    <row r="35" spans="1:5" x14ac:dyDescent="0.35">
      <c r="A35" s="1" t="s">
        <v>110</v>
      </c>
      <c r="B35" t="s">
        <v>78</v>
      </c>
      <c r="C35" t="s">
        <v>111</v>
      </c>
    </row>
    <row r="36" spans="1:5" x14ac:dyDescent="0.35">
      <c r="A36" s="1" t="s">
        <v>112</v>
      </c>
      <c r="B36" t="s">
        <v>113</v>
      </c>
      <c r="C36" t="s">
        <v>111</v>
      </c>
    </row>
    <row r="37" spans="1:5" x14ac:dyDescent="0.35">
      <c r="A37" s="1" t="s">
        <v>79</v>
      </c>
      <c r="B37" t="s">
        <v>80</v>
      </c>
      <c r="C37" t="s">
        <v>6</v>
      </c>
    </row>
    <row r="39" spans="1:5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7464-E38D-4074-8DAA-7ACAA3AA13F0}">
  <dimension ref="A1:G39"/>
  <sheetViews>
    <sheetView topLeftCell="A22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64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50</v>
      </c>
      <c r="F2" t="s">
        <v>65</v>
      </c>
    </row>
    <row r="3" spans="1:7" x14ac:dyDescent="0.35">
      <c r="A3" s="1" t="s">
        <v>30</v>
      </c>
      <c r="B3" t="s">
        <v>31</v>
      </c>
      <c r="E3" t="s">
        <v>53</v>
      </c>
    </row>
    <row r="4" spans="1:7" x14ac:dyDescent="0.35">
      <c r="A4" s="1" t="s">
        <v>33</v>
      </c>
      <c r="B4" t="s">
        <v>34</v>
      </c>
      <c r="E4" t="s">
        <v>51</v>
      </c>
    </row>
    <row r="5" spans="1:7" x14ac:dyDescent="0.35">
      <c r="A5" s="1" t="s">
        <v>36</v>
      </c>
      <c r="B5" t="s">
        <v>37</v>
      </c>
      <c r="C5" t="s">
        <v>38</v>
      </c>
      <c r="E5" t="s">
        <v>39</v>
      </c>
      <c r="F5" t="s">
        <v>66</v>
      </c>
    </row>
    <row r="6" spans="1:7" x14ac:dyDescent="0.35">
      <c r="A6" s="1" t="s">
        <v>40</v>
      </c>
      <c r="B6" t="s">
        <v>41</v>
      </c>
      <c r="C6" t="s">
        <v>42</v>
      </c>
      <c r="E6" t="s">
        <v>43</v>
      </c>
      <c r="F6" t="s">
        <v>67</v>
      </c>
    </row>
    <row r="7" spans="1:7" x14ac:dyDescent="0.35">
      <c r="A7" s="1" t="s">
        <v>44</v>
      </c>
      <c r="B7" t="s">
        <v>45</v>
      </c>
      <c r="C7" t="s">
        <v>46</v>
      </c>
      <c r="E7" t="s">
        <v>47</v>
      </c>
    </row>
    <row r="8" spans="1:7" x14ac:dyDescent="0.35">
      <c r="A8" s="1" t="s">
        <v>93</v>
      </c>
      <c r="B8" t="s">
        <v>94</v>
      </c>
      <c r="C8" t="s">
        <v>85</v>
      </c>
      <c r="E8" t="s">
        <v>91</v>
      </c>
      <c r="F8" t="s">
        <v>95</v>
      </c>
    </row>
    <row r="9" spans="1:7" x14ac:dyDescent="0.35">
      <c r="A9" s="1" t="s">
        <v>92</v>
      </c>
      <c r="B9" t="s">
        <v>81</v>
      </c>
      <c r="C9" t="s">
        <v>85</v>
      </c>
      <c r="E9" t="s">
        <v>90</v>
      </c>
    </row>
    <row r="10" spans="1:7" x14ac:dyDescent="0.35">
      <c r="A10" s="1" t="s">
        <v>68</v>
      </c>
      <c r="B10" t="s">
        <v>82</v>
      </c>
      <c r="C10" t="s">
        <v>69</v>
      </c>
      <c r="F10" t="s">
        <v>70</v>
      </c>
    </row>
    <row r="11" spans="1:7" x14ac:dyDescent="0.35">
      <c r="A11" s="1" t="s">
        <v>83</v>
      </c>
      <c r="B11" t="s">
        <v>84</v>
      </c>
      <c r="C11" t="s">
        <v>85</v>
      </c>
      <c r="E11" t="s">
        <v>90</v>
      </c>
    </row>
    <row r="12" spans="1:7" x14ac:dyDescent="0.35">
      <c r="A12" s="1" t="s">
        <v>86</v>
      </c>
      <c r="B12" t="s">
        <v>87</v>
      </c>
      <c r="C12" t="s">
        <v>85</v>
      </c>
      <c r="E12" t="s">
        <v>91</v>
      </c>
    </row>
    <row r="13" spans="1:7" x14ac:dyDescent="0.35">
      <c r="A13" s="1" t="s">
        <v>88</v>
      </c>
      <c r="B13" t="s">
        <v>89</v>
      </c>
      <c r="C13" t="s">
        <v>85</v>
      </c>
      <c r="E13" t="s">
        <v>90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64</v>
      </c>
      <c r="E15" s="1" t="s">
        <v>1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0.20833333333333334</v>
      </c>
      <c r="F16">
        <v>5</v>
      </c>
      <c r="G16" t="s">
        <v>49</v>
      </c>
    </row>
    <row r="17" spans="1:6" x14ac:dyDescent="0.35">
      <c r="A17" s="1" t="s">
        <v>96</v>
      </c>
      <c r="B17" t="s">
        <v>97</v>
      </c>
      <c r="C17" t="s">
        <v>98</v>
      </c>
      <c r="D17">
        <v>0</v>
      </c>
      <c r="E17">
        <v>70</v>
      </c>
    </row>
    <row r="18" spans="1:6" x14ac:dyDescent="0.35">
      <c r="A18" s="1" t="s">
        <v>99</v>
      </c>
      <c r="B18" t="s">
        <v>100</v>
      </c>
      <c r="C18" t="s">
        <v>101</v>
      </c>
      <c r="D18">
        <v>82.057366080959994</v>
      </c>
      <c r="E18">
        <v>82.057000000000002</v>
      </c>
    </row>
    <row r="19" spans="1:6" x14ac:dyDescent="0.35">
      <c r="A19" s="1" t="s">
        <v>102</v>
      </c>
      <c r="B19" t="s">
        <v>103</v>
      </c>
      <c r="C19" t="s">
        <v>104</v>
      </c>
      <c r="D19">
        <v>298</v>
      </c>
      <c r="E19">
        <v>293</v>
      </c>
      <c r="F19" t="s">
        <v>105</v>
      </c>
    </row>
    <row r="20" spans="1:6" x14ac:dyDescent="0.35">
      <c r="A20" s="1" t="s">
        <v>106</v>
      </c>
      <c r="B20" t="s">
        <v>107</v>
      </c>
      <c r="C20" t="s">
        <v>108</v>
      </c>
      <c r="D20">
        <v>24450</v>
      </c>
      <c r="E20">
        <f>E19*E18</f>
        <v>24042.701000000001</v>
      </c>
      <c r="F20" t="s">
        <v>109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  <c r="E22">
        <v>10</v>
      </c>
    </row>
    <row r="23" spans="1:6" x14ac:dyDescent="0.35">
      <c r="A23" s="1" t="s">
        <v>54</v>
      </c>
      <c r="B23" t="s">
        <v>55</v>
      </c>
      <c r="C23" t="s">
        <v>24</v>
      </c>
      <c r="E23">
        <v>0.16669999999999999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114</v>
      </c>
      <c r="B28" t="s">
        <v>52</v>
      </c>
      <c r="C28" t="s">
        <v>24</v>
      </c>
    </row>
    <row r="29" spans="1:6" x14ac:dyDescent="0.35">
      <c r="A29" s="1" t="s">
        <v>71</v>
      </c>
      <c r="B29" t="s">
        <v>23</v>
      </c>
      <c r="C29" t="s">
        <v>24</v>
      </c>
    </row>
    <row r="30" spans="1:6" x14ac:dyDescent="0.35">
      <c r="A30" s="1" t="s">
        <v>72</v>
      </c>
      <c r="B30" t="s">
        <v>73</v>
      </c>
      <c r="C30" t="s">
        <v>24</v>
      </c>
    </row>
    <row r="31" spans="1:6" x14ac:dyDescent="0.35">
      <c r="A31" s="1" t="s">
        <v>74</v>
      </c>
      <c r="B31" t="s">
        <v>75</v>
      </c>
    </row>
    <row r="32" spans="1:6" x14ac:dyDescent="0.35">
      <c r="A32" s="1" t="s">
        <v>56</v>
      </c>
      <c r="B32" t="s">
        <v>57</v>
      </c>
      <c r="D32">
        <v>0</v>
      </c>
    </row>
    <row r="33" spans="1:5" x14ac:dyDescent="0.35">
      <c r="A33" s="1" t="s">
        <v>58</v>
      </c>
      <c r="B33" t="s">
        <v>59</v>
      </c>
      <c r="C33" t="s">
        <v>60</v>
      </c>
      <c r="E33">
        <v>2.64</v>
      </c>
    </row>
    <row r="34" spans="1:5" x14ac:dyDescent="0.35">
      <c r="A34" s="1" t="s">
        <v>76</v>
      </c>
      <c r="B34" t="s">
        <v>77</v>
      </c>
    </row>
    <row r="35" spans="1:5" x14ac:dyDescent="0.35">
      <c r="A35" s="1" t="s">
        <v>110</v>
      </c>
      <c r="B35" t="s">
        <v>78</v>
      </c>
      <c r="C35" t="s">
        <v>111</v>
      </c>
    </row>
    <row r="36" spans="1:5" x14ac:dyDescent="0.35">
      <c r="A36" s="1" t="s">
        <v>112</v>
      </c>
      <c r="B36" t="s">
        <v>113</v>
      </c>
      <c r="C36" t="s">
        <v>111</v>
      </c>
    </row>
    <row r="37" spans="1:5" x14ac:dyDescent="0.35">
      <c r="A37" s="1" t="s">
        <v>79</v>
      </c>
      <c r="B37" t="s">
        <v>80</v>
      </c>
      <c r="C37" t="s">
        <v>6</v>
      </c>
    </row>
    <row r="39" spans="1:5" x14ac:dyDescent="0.35">
      <c r="A39" s="1" t="s">
        <v>0</v>
      </c>
      <c r="B39" s="1" t="s">
        <v>48</v>
      </c>
      <c r="C39" s="1"/>
      <c r="D39" s="1"/>
      <c r="E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4" ma:contentTypeDescription="Create a new document." ma:contentTypeScope="" ma:versionID="c974ac748e8c5d1a2dbcb03dc703954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e31f61be74db07117ec521e527c7dfb9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  <xsd:element ref="ns7:SharedWithUsers" minOccurs="0"/>
                <xsd:element ref="ns7:SharedWithDetails" minOccurs="0"/>
                <xsd:element ref="ns7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47D7CD8-1E46-46BB-A82A-284BAE4E7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Ward_rat_iv_2500</vt:lpstr>
      <vt:lpstr>Ward_rat_iv_100</vt:lpstr>
      <vt:lpstr>Perkins_rat_inh_1000ppm</vt:lpstr>
      <vt:lpstr>Perkins_rat_inh_8hr</vt:lpstr>
      <vt:lpstr>Ward_oral_100</vt:lpstr>
      <vt:lpstr>Ward_oral_2500</vt:lpstr>
      <vt:lpstr>Sedivec_inh_231ppm</vt:lpstr>
      <vt:lpstr>Sedivec_inh_157ppm</vt:lpstr>
      <vt:lpstr>Sedivec_inh_78ppm</vt:lpstr>
      <vt:lpstr>Schmutte_oral_human</vt:lpstr>
      <vt:lpstr>Haffner_iv_human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