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78" documentId="13_ncr:1_{C63AA975-7954-4754-AC1D-939BBF5412ED}" xr6:coauthVersionLast="47" xr6:coauthVersionMax="47" xr10:uidLastSave="{3C057820-2B86-42C8-9631-CB590D627930}"/>
  <bookViews>
    <workbookView xWindow="-110" yWindow="-110" windowWidth="19420" windowHeight="10420" xr2:uid="{089E7848-11EB-427A-89EA-83825F220BA0}"/>
  </bookViews>
  <sheets>
    <sheet name="FKimRecreateBW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8" i="9" l="1"/>
  <c r="E75" i="9"/>
  <c r="E70" i="9"/>
  <c r="E69" i="9"/>
  <c r="E68" i="9"/>
  <c r="E67" i="9"/>
  <c r="E66" i="9"/>
  <c r="E65" i="9"/>
  <c r="E61" i="9"/>
  <c r="E37" i="9"/>
  <c r="E31" i="9"/>
  <c r="E29" i="9"/>
  <c r="E26" i="9"/>
  <c r="E24" i="9"/>
  <c r="E22" i="9"/>
  <c r="E85" i="9"/>
  <c r="E80" i="9"/>
  <c r="E79" i="9"/>
  <c r="E78" i="9"/>
  <c r="E77" i="9"/>
  <c r="E76" i="9"/>
  <c r="E52" i="9"/>
  <c r="E15" i="9" l="1"/>
  <c r="E16" i="9"/>
</calcChain>
</file>

<file path=xl/sharedStrings.xml><?xml version="1.0" encoding="utf-8"?>
<sst xmlns="http://schemas.openxmlformats.org/spreadsheetml/2006/main" count="309" uniqueCount="239">
  <si>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</si>
  <si>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</si>
  <si>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</si>
  <si>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</si>
  <si>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</si>
  <si>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</si>
  <si>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</si>
  <si>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</si>
  <si>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</si>
  <si>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</si>
  <si>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</si>
  <si>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</si>
  <si>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</si>
  <si>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</si>
  <si>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</si>
  <si>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</si>
  <si>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</si>
  <si>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</si>
  <si>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</si>
  <si>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</si>
  <si>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</si>
  <si>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</si>
  <si>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</si>
  <si>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</si>
  <si>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</si>
  <si>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</si>
  <si>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</si>
  <si>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</si>
  <si>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</si>
  <si>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</si>
  <si>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</si>
  <si>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</si>
  <si>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</si>
  <si>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</si>
  <si>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</si>
  <si>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</si>
  <si>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</si>
  <si>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</si>
  <si>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</si>
  <si>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</si>
  <si>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</si>
  <si>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</si>
  <si>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</si>
  <si>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</si>
  <si>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</si>
  <si>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</si>
  <si>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</si>
  <si>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</si>
  <si>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</si>
  <si>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</si>
  <si>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</si>
  <si>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</si>
  <si>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</si>
  <si>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</si>
  <si>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</si>
  <si>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</si>
  <si>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</si>
  <si>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</si>
  <si>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</si>
  <si>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</si>
  <si>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</si>
  <si>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</si>
  <si>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</si>
  <si>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</si>
  <si>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</si>
  <si>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</si>
  <si>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</si>
  <si>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</si>
  <si>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</si>
  <si>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</si>
  <si>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</si>
  <si>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</si>
  <si>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</si>
  <si>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</si>
  <si>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</si>
  <si>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</si>
  <si>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</si>
  <si>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</si>
  <si>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</si>
  <si>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</si>
  <si>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</si>
  <si>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</si>
  <si>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</si>
  <si>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</si>
  <si>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</si>
  <si>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</si>
  <si>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</si>
  <si>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</si>
  <si>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</si>
  <si>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</si>
  <si>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</si>
  <si>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</si>
  <si>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</si>
  <si>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</si>
  <si>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</si>
  <si>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</si>
  <si>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</si>
  <si>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</si>
  <si>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</si>
  <si>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</si>
  <si>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</si>
  <si>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</si>
  <si>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</si>
  <si>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</si>
  <si>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</si>
  <si>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</si>
  <si>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</si>
  <si>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</si>
  <si>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</si>
  <si>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</si>
  <si>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</si>
  <si>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</si>
  <si>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</si>
  <si>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</si>
  <si>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</si>
  <si>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</si>
  <si>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</si>
  <si>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</si>
  <si>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</si>
  <si>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</si>
  <si>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</si>
  <si>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</si>
  <si>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</si>
  <si>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</si>
  <si>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</si>
  <si>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</si>
  <si>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</si>
  <si>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</si>
  <si>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</si>
  <si>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</si>
  <si>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</si>
  <si>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</si>
  <si>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</si>
  <si>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</si>
  <si>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</si>
  <si>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</si>
  <si>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</si>
  <si>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</si>
  <si>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</si>
  <si>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</si>
  <si>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</si>
  <si>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</si>
  <si>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</si>
  <si>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</si>
  <si>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</si>
  <si>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</si>
  <si>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</si>
  <si>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</si>
  <si>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</si>
  <si>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</si>
  <si>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</si>
  <si>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</si>
  <si>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</si>
  <si>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</si>
  <si>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</si>
  <si>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</si>
  <si>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</si>
  <si>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</si>
  <si>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</si>
  <si>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</si>
  <si>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</si>
  <si>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</si>
  <si>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</si>
  <si>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</si>
  <si>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</si>
  <si>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</si>
  <si>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</si>
  <si>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</si>
  <si>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</si>
  <si>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</si>
  <si>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</si>
  <si>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</si>
  <si>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</si>
  <si>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</si>
  <si>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</si>
  <si>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</si>
  <si>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</si>
  <si>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</si>
  <si>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</si>
  <si>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</si>
  <si>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</si>
  <si>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</si>
  <si>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</si>
  <si>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</si>
  <si>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</si>
  <si>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</si>
  <si>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</si>
  <si>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</si>
  <si>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</si>
  <si>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</si>
  <si>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</si>
  <si>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</si>
  <si>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</si>
  <si>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</si>
  <si>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</si>
  <si>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</si>
  <si>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</si>
  <si>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</si>
  <si>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</si>
  <si>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</si>
  <si>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</si>
  <si>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</si>
  <si>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PFDA</t>
  </si>
  <si>
    <t>rat</t>
  </si>
  <si>
    <t>female</t>
  </si>
  <si>
    <t>ng</t>
  </si>
  <si>
    <t>mL</t>
  </si>
  <si>
    <t>h</t>
  </si>
  <si>
    <t>1</t>
  </si>
  <si>
    <t>tissue compartment 2 volume fraction - heart</t>
  </si>
  <si>
    <t>tissue compartment 1 volume fraction - lung</t>
  </si>
  <si>
    <t>tissue compartment 2 blood flow rate fraction - heart</t>
  </si>
  <si>
    <t>tissue compartment 1 blood flow rate fraction - lung</t>
  </si>
  <si>
    <t>tissue compartment 2:blood partition coefficient - heart</t>
  </si>
  <si>
    <t>tissue compartment 1:blood partition coefficient - lung</t>
  </si>
  <si>
    <t>Values from paper</t>
  </si>
  <si>
    <t>published model uses a bad value for lung tissue blood flow</t>
  </si>
  <si>
    <t>liver blood flow rate fraction</t>
  </si>
  <si>
    <t>(K_bile/BW^-0.25)*P_li/Free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</si>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</sst>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11" fontId="0" fillId="0" borderId="0" xfId="0" applyNumberFormat="1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abSelected="1" zoomScaleNormal="100"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5.453125" customWidth="1"/>
    <col min="3" max="3" width="26.81640625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179</v>
      </c>
      <c r="E1" s="1" t="s">
        <v>3</v>
      </c>
      <c r="F1" s="1" t="s">
        <v>120</v>
      </c>
    </row>
    <row r="2" spans="1:6" x14ac:dyDescent="0.35">
      <c r="A2" s="1" t="s">
        <v>4</v>
      </c>
      <c r="B2" t="s">
        <v>5</v>
      </c>
      <c r="E2" t="s">
        <v>202</v>
      </c>
      <c r="F2" t="s">
        <v>180</v>
      </c>
    </row>
    <row r="3" spans="1:6" x14ac:dyDescent="0.35">
      <c r="A3" s="1" t="s">
        <v>6</v>
      </c>
      <c r="B3" t="s">
        <v>7</v>
      </c>
      <c r="E3" t="s">
        <v>203</v>
      </c>
    </row>
    <row r="4" spans="1:6" x14ac:dyDescent="0.35">
      <c r="A4" s="1" t="s">
        <v>8</v>
      </c>
      <c r="B4" t="s">
        <v>9</v>
      </c>
      <c r="E4" t="s">
        <v>204</v>
      </c>
    </row>
    <row r="5" spans="1:6" x14ac:dyDescent="0.35">
      <c r="A5" s="1" t="s">
        <v>10</v>
      </c>
      <c r="B5" t="s">
        <v>11</v>
      </c>
      <c r="C5" t="s">
        <v>12</v>
      </c>
      <c r="E5" t="s">
        <v>205</v>
      </c>
      <c r="F5" t="s">
        <v>171</v>
      </c>
    </row>
    <row r="6" spans="1:6" x14ac:dyDescent="0.35">
      <c r="A6" s="1" t="s">
        <v>13</v>
      </c>
      <c r="B6" t="s">
        <v>14</v>
      </c>
      <c r="C6" t="s">
        <v>15</v>
      </c>
      <c r="E6" t="s">
        <v>206</v>
      </c>
      <c r="F6" t="s">
        <v>172</v>
      </c>
    </row>
    <row r="7" spans="1:6" x14ac:dyDescent="0.35">
      <c r="A7" s="1" t="s">
        <v>16</v>
      </c>
      <c r="B7" t="s">
        <v>17</v>
      </c>
      <c r="C7" t="s">
        <v>18</v>
      </c>
      <c r="E7" t="s">
        <v>207</v>
      </c>
    </row>
    <row r="8" spans="1:6" x14ac:dyDescent="0.35">
      <c r="A8" s="1" t="s">
        <v>20</v>
      </c>
      <c r="B8" t="s">
        <v>21</v>
      </c>
      <c r="C8" t="s">
        <v>19</v>
      </c>
      <c r="E8" t="s">
        <v>181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 s="2" t="s">
        <v>208</v>
      </c>
    </row>
    <row r="10" spans="1:6" x14ac:dyDescent="0.35">
      <c r="A10" s="1" t="s">
        <v>135</v>
      </c>
      <c r="B10" t="s">
        <v>175</v>
      </c>
      <c r="C10" t="s">
        <v>19</v>
      </c>
      <c r="D10" t="s">
        <v>181</v>
      </c>
      <c r="E10" t="s">
        <v>181</v>
      </c>
    </row>
    <row r="11" spans="1:6" x14ac:dyDescent="0.35">
      <c r="A11" s="1" t="s">
        <v>136</v>
      </c>
      <c r="B11" t="s">
        <v>176</v>
      </c>
      <c r="C11" t="s">
        <v>19</v>
      </c>
      <c r="D11" t="s">
        <v>181</v>
      </c>
      <c r="E11" t="s">
        <v>181</v>
      </c>
    </row>
    <row r="12" spans="1:6" x14ac:dyDescent="0.35">
      <c r="A12" s="1" t="s">
        <v>173</v>
      </c>
      <c r="B12" t="s">
        <v>174</v>
      </c>
      <c r="C12" t="s">
        <v>19</v>
      </c>
      <c r="D12" t="s">
        <v>181</v>
      </c>
      <c r="E12" t="s">
        <v>181</v>
      </c>
    </row>
    <row r="13" spans="1:6" x14ac:dyDescent="0.35">
      <c r="A13" s="1" t="s">
        <v>177</v>
      </c>
      <c r="B13" t="s">
        <v>178</v>
      </c>
      <c r="C13" t="s">
        <v>19</v>
      </c>
      <c r="D13" t="s">
        <v>181</v>
      </c>
      <c r="E13" t="s">
        <v>22</v>
      </c>
    </row>
    <row r="14" spans="1:6" x14ac:dyDescent="0.35">
      <c r="A14" s="1" t="s">
        <v>165</v>
      </c>
      <c r="B14" t="s">
        <v>160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191</v>
      </c>
      <c r="B15" t="s">
        <v>192</v>
      </c>
      <c r="C15" t="s">
        <v>193</v>
      </c>
      <c r="E15">
        <f>1-SUM(E76:E85)</f>
        <v>-0.99224806201550408</v>
      </c>
      <c r="F15" t="s">
        <v>216</v>
      </c>
    </row>
    <row r="16" spans="1:6" x14ac:dyDescent="0.35">
      <c r="A16" s="1" t="s">
        <v>194</v>
      </c>
      <c r="B16" t="s">
        <v>195</v>
      </c>
      <c r="C16" t="s">
        <v>196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179</v>
      </c>
      <c r="E18" s="1" t="s">
        <v>3</v>
      </c>
      <c r="F18" s="1" t="s">
        <v>215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514.08000000000004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187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0.65</v>
      </c>
    </row>
    <row r="26" spans="1:7" x14ac:dyDescent="0.35">
      <c r="A26" s="1" t="s">
        <v>141</v>
      </c>
      <c r="B26" t="s">
        <v>45</v>
      </c>
      <c r="C26" t="s">
        <v>188</v>
      </c>
      <c r="D26">
        <v>0</v>
      </c>
      <c r="E26" s="4">
        <f>F26/(G20^E21)</f>
        <v>113844.19177103414</v>
      </c>
      <c r="F26">
        <v>40250</v>
      </c>
    </row>
    <row r="27" spans="1:7" x14ac:dyDescent="0.35">
      <c r="A27" s="1" t="s">
        <v>142</v>
      </c>
      <c r="B27" t="s">
        <v>46</v>
      </c>
      <c r="C27" t="s">
        <v>47</v>
      </c>
      <c r="D27">
        <v>1</v>
      </c>
      <c r="E27" s="3">
        <v>30051</v>
      </c>
      <c r="F27">
        <v>30051</v>
      </c>
    </row>
    <row r="28" spans="1:7" x14ac:dyDescent="0.35">
      <c r="A28" s="1" t="s">
        <v>48</v>
      </c>
      <c r="B28" t="s">
        <v>49</v>
      </c>
      <c r="C28" t="s">
        <v>189</v>
      </c>
      <c r="D28">
        <v>0</v>
      </c>
      <c r="E28">
        <f>F28/(G20^E23)*E88/E58</f>
        <v>4.1865937807744178</v>
      </c>
      <c r="F28">
        <v>1.1900000000000001E-3</v>
      </c>
      <c r="G28" t="s">
        <v>218</v>
      </c>
    </row>
    <row r="29" spans="1:7" x14ac:dyDescent="0.35">
      <c r="A29" s="1" t="s">
        <v>143</v>
      </c>
      <c r="B29" t="s">
        <v>50</v>
      </c>
      <c r="C29" t="s">
        <v>189</v>
      </c>
      <c r="D29">
        <v>0</v>
      </c>
      <c r="E29">
        <f>F29/(G20^E23)</f>
        <v>0.48153971798803896</v>
      </c>
      <c r="F29">
        <v>0.68100000000000005</v>
      </c>
    </row>
    <row r="30" spans="1:7" x14ac:dyDescent="0.35">
      <c r="A30" s="1" t="s">
        <v>144</v>
      </c>
      <c r="B30" t="s">
        <v>219</v>
      </c>
      <c r="C30" t="s">
        <v>37</v>
      </c>
      <c r="D30">
        <v>0</v>
      </c>
    </row>
    <row r="31" spans="1:7" x14ac:dyDescent="0.35">
      <c r="A31" s="1" t="s">
        <v>145</v>
      </c>
      <c r="B31" t="s">
        <v>51</v>
      </c>
      <c r="C31" t="s">
        <v>189</v>
      </c>
      <c r="D31">
        <v>0</v>
      </c>
      <c r="E31">
        <f>F31/(G20^E23)</f>
        <v>0.27647875144394013</v>
      </c>
      <c r="F31">
        <v>0.39100000000000001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1.44</v>
      </c>
      <c r="F32">
        <v>1.44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166</v>
      </c>
      <c r="B36" t="s">
        <v>167</v>
      </c>
      <c r="C36" t="s">
        <v>189</v>
      </c>
      <c r="D36">
        <v>0</v>
      </c>
    </row>
    <row r="37" spans="1:6" x14ac:dyDescent="0.35">
      <c r="A37" s="1" t="s">
        <v>57</v>
      </c>
      <c r="B37" t="s">
        <v>168</v>
      </c>
      <c r="C37" t="s">
        <v>189</v>
      </c>
      <c r="D37">
        <v>0</v>
      </c>
      <c r="E37">
        <f>F37/(G20^E23)</f>
        <v>0.53598694013940307</v>
      </c>
      <c r="F37">
        <v>0.75800000000000001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146</v>
      </c>
      <c r="B41" t="s">
        <v>62</v>
      </c>
      <c r="C41" t="s">
        <v>188</v>
      </c>
      <c r="D41">
        <v>0</v>
      </c>
    </row>
    <row r="42" spans="1:6" x14ac:dyDescent="0.35">
      <c r="A42" s="1" t="s">
        <v>147</v>
      </c>
      <c r="B42" t="s">
        <v>63</v>
      </c>
      <c r="C42" t="s">
        <v>47</v>
      </c>
      <c r="D42">
        <v>1</v>
      </c>
    </row>
    <row r="43" spans="1:6" x14ac:dyDescent="0.35">
      <c r="A43" s="1" t="s">
        <v>148</v>
      </c>
      <c r="B43" t="s">
        <v>64</v>
      </c>
      <c r="C43" t="s">
        <v>65</v>
      </c>
      <c r="D43">
        <v>0</v>
      </c>
    </row>
    <row r="44" spans="1:6" x14ac:dyDescent="0.35">
      <c r="A44" s="1" t="s">
        <v>149</v>
      </c>
      <c r="B44" t="s">
        <v>66</v>
      </c>
      <c r="C44" t="s">
        <v>188</v>
      </c>
      <c r="D44">
        <v>0</v>
      </c>
    </row>
    <row r="45" spans="1:6" x14ac:dyDescent="0.35">
      <c r="A45" s="1" t="s">
        <v>150</v>
      </c>
      <c r="B45" t="s">
        <v>67</v>
      </c>
      <c r="C45" t="s">
        <v>47</v>
      </c>
      <c r="D45">
        <v>1</v>
      </c>
    </row>
    <row r="46" spans="1:6" x14ac:dyDescent="0.35">
      <c r="A46" s="1" t="s">
        <v>151</v>
      </c>
      <c r="B46" t="s">
        <v>68</v>
      </c>
      <c r="C46" t="s">
        <v>188</v>
      </c>
      <c r="D46">
        <v>0</v>
      </c>
    </row>
    <row r="47" spans="1:6" x14ac:dyDescent="0.35">
      <c r="A47" s="1" t="s">
        <v>152</v>
      </c>
      <c r="B47" t="s">
        <v>69</v>
      </c>
      <c r="C47" t="s">
        <v>47</v>
      </c>
      <c r="D47">
        <v>1</v>
      </c>
    </row>
    <row r="48" spans="1:6" x14ac:dyDescent="0.35">
      <c r="A48" s="1" t="s">
        <v>153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169</v>
      </c>
      <c r="B50" t="s">
        <v>170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183</v>
      </c>
      <c r="B52" t="s">
        <v>182</v>
      </c>
      <c r="C52" t="s">
        <v>184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161</v>
      </c>
      <c r="B53" t="s">
        <v>163</v>
      </c>
      <c r="C53" t="s">
        <v>190</v>
      </c>
      <c r="D53">
        <v>1</v>
      </c>
    </row>
    <row r="54" spans="1:6" x14ac:dyDescent="0.35">
      <c r="A54" s="1" t="s">
        <v>162</v>
      </c>
      <c r="B54" t="s">
        <v>164</v>
      </c>
      <c r="D54">
        <v>0</v>
      </c>
    </row>
    <row r="55" spans="1:6" x14ac:dyDescent="0.35">
      <c r="A55" s="1" t="s">
        <v>197</v>
      </c>
      <c r="B55" t="s">
        <v>198</v>
      </c>
      <c r="C55" t="s">
        <v>37</v>
      </c>
      <c r="D55">
        <v>0</v>
      </c>
    </row>
    <row r="56" spans="1:6" x14ac:dyDescent="0.35">
      <c r="A56" s="1" t="s">
        <v>199</v>
      </c>
      <c r="B56" t="s">
        <v>200</v>
      </c>
      <c r="C56" t="s">
        <v>201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1.22E-4</v>
      </c>
    </row>
    <row r="60" spans="1:6" x14ac:dyDescent="0.35">
      <c r="A60" s="1" t="s">
        <v>0</v>
      </c>
      <c r="B60" s="1" t="s">
        <v>121</v>
      </c>
      <c r="C60" s="1" t="s">
        <v>26</v>
      </c>
      <c r="D60" s="1" t="s">
        <v>179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185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137</v>
      </c>
      <c r="B62" t="s">
        <v>138</v>
      </c>
      <c r="C62" t="s">
        <v>185</v>
      </c>
      <c r="D62">
        <v>1</v>
      </c>
    </row>
    <row r="63" spans="1:6" x14ac:dyDescent="0.35">
      <c r="A63" s="1" t="s">
        <v>139</v>
      </c>
      <c r="B63" t="s">
        <v>140</v>
      </c>
      <c r="C63" t="s">
        <v>185</v>
      </c>
      <c r="D63">
        <v>1</v>
      </c>
    </row>
    <row r="64" spans="1:6" x14ac:dyDescent="0.35">
      <c r="A64" s="1" t="s">
        <v>84</v>
      </c>
      <c r="B64" t="s">
        <v>83</v>
      </c>
      <c r="C64" t="s">
        <v>185</v>
      </c>
      <c r="D64">
        <v>1</v>
      </c>
    </row>
    <row r="65" spans="1:6" x14ac:dyDescent="0.35">
      <c r="A65" s="1" t="s">
        <v>91</v>
      </c>
      <c r="B65" t="s">
        <v>223</v>
      </c>
      <c r="C65" t="s">
        <v>185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185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185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185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210</v>
      </c>
      <c r="C69" t="s">
        <v>185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209</v>
      </c>
      <c r="C70" t="s">
        <v>185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185</v>
      </c>
      <c r="D71">
        <v>1</v>
      </c>
    </row>
    <row r="72" spans="1:6" x14ac:dyDescent="0.35">
      <c r="A72" s="1" t="s">
        <v>98</v>
      </c>
      <c r="B72" t="s">
        <v>89</v>
      </c>
      <c r="C72" t="s">
        <v>185</v>
      </c>
      <c r="D72">
        <v>1</v>
      </c>
    </row>
    <row r="73" spans="1:6" x14ac:dyDescent="0.35">
      <c r="A73" s="1" t="s">
        <v>99</v>
      </c>
      <c r="B73" t="s">
        <v>90</v>
      </c>
      <c r="C73" t="s">
        <v>185</v>
      </c>
      <c r="D73">
        <v>1</v>
      </c>
    </row>
    <row r="74" spans="1:6" x14ac:dyDescent="0.35">
      <c r="A74" s="1" t="s">
        <v>100</v>
      </c>
      <c r="B74" t="s">
        <v>132</v>
      </c>
      <c r="C74" t="s">
        <v>185</v>
      </c>
      <c r="D74">
        <v>1</v>
      </c>
    </row>
    <row r="75" spans="1:6" x14ac:dyDescent="0.35">
      <c r="A75" s="1" t="s">
        <v>154</v>
      </c>
      <c r="B75" t="s">
        <v>155</v>
      </c>
      <c r="C75" t="s">
        <v>185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105</v>
      </c>
      <c r="B76" t="s">
        <v>224</v>
      </c>
      <c r="C76" t="s">
        <v>184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106</v>
      </c>
      <c r="B77" t="s">
        <v>217</v>
      </c>
      <c r="C77" t="s">
        <v>184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107</v>
      </c>
      <c r="B78" t="s">
        <v>101</v>
      </c>
      <c r="C78" t="s">
        <v>184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108</v>
      </c>
      <c r="B79" t="s">
        <v>212</v>
      </c>
      <c r="C79" t="s">
        <v>184</v>
      </c>
      <c r="D79">
        <v>0</v>
      </c>
      <c r="E79" s="5">
        <f>F79/F24</f>
        <v>1</v>
      </c>
      <c r="F79">
        <v>2580</v>
      </c>
    </row>
    <row r="80" spans="1:6" x14ac:dyDescent="0.35">
      <c r="A80" s="1" t="s">
        <v>109</v>
      </c>
      <c r="B80" t="s">
        <v>211</v>
      </c>
      <c r="C80" t="s">
        <v>184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110</v>
      </c>
      <c r="B81" t="s">
        <v>102</v>
      </c>
      <c r="C81" t="s">
        <v>184</v>
      </c>
      <c r="D81">
        <v>0</v>
      </c>
    </row>
    <row r="82" spans="1:6" x14ac:dyDescent="0.35">
      <c r="A82" s="1" t="s">
        <v>111</v>
      </c>
      <c r="B82" t="s">
        <v>103</v>
      </c>
      <c r="C82" t="s">
        <v>184</v>
      </c>
      <c r="D82">
        <v>0</v>
      </c>
    </row>
    <row r="83" spans="1:6" x14ac:dyDescent="0.35">
      <c r="A83" s="1" t="s">
        <v>112</v>
      </c>
      <c r="B83" t="s">
        <v>104</v>
      </c>
      <c r="C83" t="s">
        <v>184</v>
      </c>
      <c r="D83">
        <v>0</v>
      </c>
    </row>
    <row r="84" spans="1:6" x14ac:dyDescent="0.35">
      <c r="A84" s="1" t="s">
        <v>113</v>
      </c>
      <c r="B84" t="s">
        <v>133</v>
      </c>
      <c r="C84" t="s">
        <v>184</v>
      </c>
      <c r="D84">
        <v>0</v>
      </c>
    </row>
    <row r="85" spans="1:6" x14ac:dyDescent="0.35">
      <c r="A85" s="1" t="s">
        <v>156</v>
      </c>
      <c r="B85" t="s">
        <v>157</v>
      </c>
      <c r="C85" t="s">
        <v>184</v>
      </c>
      <c r="D85">
        <v>0</v>
      </c>
      <c r="E85" s="6">
        <f>F85/F24</f>
        <v>0.20465116279069767</v>
      </c>
      <c r="F85">
        <v>528</v>
      </c>
    </row>
    <row r="86" spans="1:6" x14ac:dyDescent="0.35">
      <c r="A86" s="1" t="s">
        <v>122</v>
      </c>
      <c r="B86" t="s">
        <v>114</v>
      </c>
      <c r="D86">
        <v>1</v>
      </c>
      <c r="E86" s="6"/>
    </row>
    <row r="87" spans="1:6" x14ac:dyDescent="0.35">
      <c r="A87" s="1" t="s">
        <v>123</v>
      </c>
      <c r="B87" t="s">
        <v>225</v>
      </c>
      <c r="D87">
        <v>1</v>
      </c>
      <c r="E87">
        <v>1.0200000000000001E-2</v>
      </c>
    </row>
    <row r="88" spans="1:6" x14ac:dyDescent="0.35">
      <c r="A88" s="1" t="s">
        <v>124</v>
      </c>
      <c r="B88" t="s">
        <v>115</v>
      </c>
      <c r="D88">
        <v>1</v>
      </c>
      <c r="E88">
        <v>0.60699999999999998</v>
      </c>
    </row>
    <row r="89" spans="1:6" x14ac:dyDescent="0.35">
      <c r="A89" s="1" t="s">
        <v>125</v>
      </c>
      <c r="B89" t="s">
        <v>116</v>
      </c>
      <c r="D89">
        <v>1</v>
      </c>
      <c r="E89">
        <v>0.23280000000000001</v>
      </c>
    </row>
    <row r="90" spans="1:6" x14ac:dyDescent="0.35">
      <c r="A90" s="1" t="s">
        <v>126</v>
      </c>
      <c r="B90" t="s">
        <v>214</v>
      </c>
      <c r="D90">
        <v>1</v>
      </c>
      <c r="E90">
        <v>0.1002</v>
      </c>
    </row>
    <row r="91" spans="1:6" x14ac:dyDescent="0.35">
      <c r="A91" s="1" t="s">
        <v>127</v>
      </c>
      <c r="B91" t="s">
        <v>213</v>
      </c>
      <c r="D91">
        <v>1</v>
      </c>
      <c r="E91">
        <v>4.36E-2</v>
      </c>
    </row>
    <row r="92" spans="1:6" x14ac:dyDescent="0.35">
      <c r="A92" s="1" t="s">
        <v>128</v>
      </c>
      <c r="B92" t="s">
        <v>117</v>
      </c>
      <c r="D92">
        <v>1</v>
      </c>
    </row>
    <row r="93" spans="1:6" x14ac:dyDescent="0.35">
      <c r="A93" s="1" t="s">
        <v>129</v>
      </c>
      <c r="B93" t="s">
        <v>118</v>
      </c>
      <c r="D93">
        <v>1</v>
      </c>
    </row>
    <row r="94" spans="1:6" x14ac:dyDescent="0.35">
      <c r="A94" s="1" t="s">
        <v>130</v>
      </c>
      <c r="B94" t="s">
        <v>119</v>
      </c>
      <c r="D94">
        <v>1</v>
      </c>
    </row>
    <row r="95" spans="1:6" x14ac:dyDescent="0.35">
      <c r="A95" s="1" t="s">
        <v>131</v>
      </c>
      <c r="B95" t="s">
        <v>134</v>
      </c>
      <c r="D95">
        <v>1</v>
      </c>
    </row>
    <row r="96" spans="1:6" x14ac:dyDescent="0.35">
      <c r="A96" s="1" t="s">
        <v>158</v>
      </c>
      <c r="B96" t="s">
        <v>159</v>
      </c>
      <c r="D96">
        <v>1</v>
      </c>
      <c r="E96">
        <v>2.8899999999999999E-2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179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186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4" ma:contentTypeDescription="Create a new document." ma:contentTypeScope="" ma:versionID="c974ac748e8c5d1a2dbcb03dc7039540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e31f61be74db07117ec521e527c7dfb9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  <xsd:element ref="ns7:SharedWithUsers" minOccurs="0"/>
                <xsd:element ref="ns7:SharedWithDetails" minOccurs="0"/>
                <xsd:element ref="ns7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3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D47D7CD8-1E46-46BB-A82A-284BAE4E7E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