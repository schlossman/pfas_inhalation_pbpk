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931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usepa-my.sharepoint.com/personal/bernstein_amanda_epa_gov/Documents/Documents/PKWG_models/pbpk_template_project/Inputs/"/>
    </mc:Choice>
  </mc:AlternateContent>
  <xr:revisionPtr revIDLastSave="705" documentId="8_{D031EE4F-1494-41E6-A9B6-B336235EFD1E}" xr6:coauthVersionLast="47" xr6:coauthVersionMax="47" xr10:uidLastSave="{A44581F1-B313-455D-B51B-F01610674B4B}"/>
  <bookViews>
    <workbookView xWindow="-110" yWindow="-110" windowWidth="19420" windowHeight="10420" xr2:uid="{089E7848-11EB-427A-89EA-83825F220BA0}"/>
  </bookViews>
  <sheets>
    <sheet name="rat" sheetId="9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E82" i="9" l="1"/>
  <c r="E81" i="9"/>
  <c r="E80" i="9"/>
  <c r="E78" i="9"/>
  <c r="E72" i="9"/>
  <c r="E71" i="9"/>
  <c r="E16" i="9" s="1"/>
  <c r="E70" i="9"/>
  <c r="E67" i="9"/>
  <c r="E50" i="9"/>
  <c r="E41" i="9"/>
  <c r="E24" i="9"/>
  <c r="E15" i="9" l="1"/>
</calcChain>
</file>

<file path=xl/sharedStrings.xml><?xml version="1.0" encoding="utf-8"?>
<sst xmlns="http://schemas.openxmlformats.org/spreadsheetml/2006/main" count="356" uniqueCount="263">
  <si>
    <t>Code</t>
  </si>
  <si>
    <t>Model Information</t>
  </si>
  <si>
    <t>Possible Answers</t>
  </si>
  <si>
    <t>Value</t>
  </si>
  <si>
    <t>chem.name</t>
  </si>
  <si>
    <t>Chemical Name</t>
  </si>
  <si>
    <t>species</t>
  </si>
  <si>
    <t>Species</t>
  </si>
  <si>
    <t>sex</t>
  </si>
  <si>
    <t>Sex</t>
  </si>
  <si>
    <t>M.units</t>
  </si>
  <si>
    <t>Mass units</t>
  </si>
  <si>
    <t>mg, ug, ng</t>
  </si>
  <si>
    <t>V.units</t>
  </si>
  <si>
    <t>Volume units</t>
  </si>
  <si>
    <t>mL, L</t>
  </si>
  <si>
    <t>T.units</t>
  </si>
  <si>
    <t>Time units</t>
  </si>
  <si>
    <t>min, h, days</t>
  </si>
  <si>
    <t>Y or N</t>
  </si>
  <si>
    <t>Free_constant</t>
  </si>
  <si>
    <t>Free fraction is constant?</t>
  </si>
  <si>
    <t>N</t>
  </si>
  <si>
    <t>One or two (venous and arterial) blood compartments?</t>
  </si>
  <si>
    <t>1 or 2</t>
  </si>
  <si>
    <t>Model Parameter</t>
  </si>
  <si>
    <t>Units</t>
  </si>
  <si>
    <t>AS_co</t>
  </si>
  <si>
    <t>Allometric Scaling Exponent: Cardiac Output</t>
  </si>
  <si>
    <t>AS_met</t>
  </si>
  <si>
    <t>Allometric Scaling Exponent: Maximum Rate of Saturable Metabolism</t>
  </si>
  <si>
    <t>AS_cl</t>
  </si>
  <si>
    <t>Q_cardiacc</t>
  </si>
  <si>
    <t>Cardiac Output</t>
  </si>
  <si>
    <t>hcrit</t>
  </si>
  <si>
    <t>Hematocrit</t>
  </si>
  <si>
    <t>1/time</t>
  </si>
  <si>
    <t>VPR</t>
  </si>
  <si>
    <t>Inhalation: Ventilation Perfusion Ratio</t>
  </si>
  <si>
    <t>P_B</t>
  </si>
  <si>
    <t>Inhalation: Blood to air partition coefficient</t>
  </si>
  <si>
    <t>F_free</t>
  </si>
  <si>
    <t>F_unabs</t>
  </si>
  <si>
    <t>Fraction Unabsorbed</t>
  </si>
  <si>
    <t>Transport Maximum</t>
  </si>
  <si>
    <t>Transport Affinity Constant</t>
  </si>
  <si>
    <t>mass/volume</t>
  </si>
  <si>
    <t>k_bilec</t>
  </si>
  <si>
    <t>Biliary Excretion Rate</t>
  </si>
  <si>
    <t>Rate Constant to Urine</t>
  </si>
  <si>
    <t>Rate Constant to Feces from Fecal Storage</t>
  </si>
  <si>
    <t>k_absgi</t>
  </si>
  <si>
    <t>k_absli</t>
  </si>
  <si>
    <t>k_absli2</t>
  </si>
  <si>
    <t>k_unabs</t>
  </si>
  <si>
    <t>Rate Unabsorbed fraction of Dose goes to Fecal Storage</t>
  </si>
  <si>
    <t>k_ustc</t>
  </si>
  <si>
    <t>affinity constant for liver binding (saturable)</t>
  </si>
  <si>
    <t>maximum binding capacity (liver, saturable)</t>
  </si>
  <si>
    <t>mass/time</t>
  </si>
  <si>
    <t>dissociation rate constant (liver)</t>
  </si>
  <si>
    <t>Metabolism: Liver: Saturable: Maximum Rate Constant</t>
  </si>
  <si>
    <t>Metabolism: Liver: Saturable: Affinity Constant</t>
  </si>
  <si>
    <t>Metabolism: Liver: 1st order rate constant</t>
  </si>
  <si>
    <t>Metabolism: Other Metabolizing Tissues: Saturable: Maximum Rate</t>
  </si>
  <si>
    <t>Metabolism: Other Metabolizing Tissues: Saturable: Affinity Constant</t>
  </si>
  <si>
    <t>Metabolism: Lung: Saturable: Maximum Rate Constant</t>
  </si>
  <si>
    <t>Metabolism: Lung: Saturable: Affinity Constant</t>
  </si>
  <si>
    <t>Metabolism: Lung: 1st order rate constant</t>
  </si>
  <si>
    <t>MOLWT</t>
  </si>
  <si>
    <t>Molecular Weight of Chemical</t>
  </si>
  <si>
    <t>g/mol</t>
  </si>
  <si>
    <t>Plotting Information</t>
  </si>
  <si>
    <t>r.plots</t>
  </si>
  <si>
    <t>Make plots in R (Y or N)</t>
  </si>
  <si>
    <t>A.units</t>
  </si>
  <si>
    <t>Units of Data - Amounts</t>
  </si>
  <si>
    <t>C.units</t>
  </si>
  <si>
    <t>Units of Data - Concentrations</t>
  </si>
  <si>
    <t>V_blc</t>
  </si>
  <si>
    <t>blood plasma volume fraction</t>
  </si>
  <si>
    <t>lung volume fraction - inhalation</t>
  </si>
  <si>
    <t>V_luc</t>
  </si>
  <si>
    <t>liver volume fraction</t>
  </si>
  <si>
    <t>kidney volume fraction</t>
  </si>
  <si>
    <t>kidney filtrate volume fraction</t>
  </si>
  <si>
    <t xml:space="preserve">tissue compartment 4 volume fraction - </t>
  </si>
  <si>
    <t xml:space="preserve">tissue compartment 5 volume fraction - </t>
  </si>
  <si>
    <t>V_gic</t>
  </si>
  <si>
    <t>V_lic</t>
  </si>
  <si>
    <t>V_kic</t>
  </si>
  <si>
    <t>V_filc</t>
  </si>
  <si>
    <t>V_tc1c</t>
  </si>
  <si>
    <t>V_tc2c</t>
  </si>
  <si>
    <t>V_tc3c</t>
  </si>
  <si>
    <t>V_tc4c</t>
  </si>
  <si>
    <t>V_tc5c</t>
  </si>
  <si>
    <t>V_omc</t>
  </si>
  <si>
    <t>liver blood flow rate fraction</t>
  </si>
  <si>
    <t>kidney blood flow rate fraction</t>
  </si>
  <si>
    <t xml:space="preserve">tissue compartment 3 blood flow rate fraction - </t>
  </si>
  <si>
    <t xml:space="preserve">tissue compartment 4 blood flow rate fraction - </t>
  </si>
  <si>
    <t xml:space="preserve">tissue compartment 5 blood flow rate fraction - </t>
  </si>
  <si>
    <t>Q_gic</t>
  </si>
  <si>
    <t>Q_lic</t>
  </si>
  <si>
    <t>Q_kic</t>
  </si>
  <si>
    <t>Q_tc1c</t>
  </si>
  <si>
    <t>Q_tc2c</t>
  </si>
  <si>
    <t>Q_tc3c</t>
  </si>
  <si>
    <t>Q_tc4c</t>
  </si>
  <si>
    <t>Q_tc5c</t>
  </si>
  <si>
    <t>Q_omc</t>
  </si>
  <si>
    <t>lung:blood partition coefficient - inhalation</t>
  </si>
  <si>
    <t>liver:blood partition coefficient</t>
  </si>
  <si>
    <t>kidney:blood partition coefficient</t>
  </si>
  <si>
    <t xml:space="preserve">tissue compartment 3:blood partition coefficient - </t>
  </si>
  <si>
    <t xml:space="preserve">tissue compartment 4:blood partition coefficient - </t>
  </si>
  <si>
    <t xml:space="preserve">tissue compartment 5:blood partition coefficient - </t>
  </si>
  <si>
    <t>Notes</t>
  </si>
  <si>
    <t>Compartment Parameter</t>
  </si>
  <si>
    <t>P_lu</t>
  </si>
  <si>
    <t>P_gi</t>
  </si>
  <si>
    <t>P_li</t>
  </si>
  <si>
    <t>P_ki</t>
  </si>
  <si>
    <t>P_tc1</t>
  </si>
  <si>
    <t>P_tc2</t>
  </si>
  <si>
    <t>P_tc3</t>
  </si>
  <si>
    <t>P_tc4</t>
  </si>
  <si>
    <t>P_tc5</t>
  </si>
  <si>
    <t>P_om</t>
  </si>
  <si>
    <t xml:space="preserve">other metabolizing tissues volume fraction - </t>
  </si>
  <si>
    <t xml:space="preserve">other metabolizing tissues blood flow rate fraction - </t>
  </si>
  <si>
    <t xml:space="preserve">other metabolizing tissues:blood partition coefficient - </t>
  </si>
  <si>
    <t>venous_ss</t>
  </si>
  <si>
    <t>arterial_ss</t>
  </si>
  <si>
    <t>V_venc</t>
  </si>
  <si>
    <t>venous blood volume fraction</t>
  </si>
  <si>
    <t>V_artc</t>
  </si>
  <si>
    <t>arterial blood volume fraction</t>
  </si>
  <si>
    <t>V_max_reabsc</t>
  </si>
  <si>
    <t>K_m_reabs</t>
  </si>
  <si>
    <t>k_urinec</t>
  </si>
  <si>
    <t>k_fst</t>
  </si>
  <si>
    <t>k_fecesc</t>
  </si>
  <si>
    <t>V_max_lic</t>
  </si>
  <si>
    <t>K_m_li</t>
  </si>
  <si>
    <t>k_met_lic</t>
  </si>
  <si>
    <t>V_max_omc</t>
  </si>
  <si>
    <t>K_m_om</t>
  </si>
  <si>
    <t>V_max_luc</t>
  </si>
  <si>
    <t>K_m_lu</t>
  </si>
  <si>
    <t>k_met_luc</t>
  </si>
  <si>
    <t>V_rbc</t>
  </si>
  <si>
    <t>rest of body volume fraction</t>
  </si>
  <si>
    <t>Q_rbc</t>
  </si>
  <si>
    <t>rest of body blood flow rate fraction</t>
  </si>
  <si>
    <t xml:space="preserve">tissue compartment 2 blood flow rate fraction - </t>
  </si>
  <si>
    <t>P_rb</t>
  </si>
  <si>
    <t>rest of body:blood partition coefficient</t>
  </si>
  <si>
    <t xml:space="preserve">tissue compartment 2:blood partition coefficient - </t>
  </si>
  <si>
    <t>Include cardiac depression term (based on concentration in rest of body compartment)</t>
  </si>
  <si>
    <t>KIV</t>
  </si>
  <si>
    <t>NV</t>
  </si>
  <si>
    <t>Cardiac Depression: Inhibition Constant</t>
  </si>
  <si>
    <t>Cardiac Depression: Hill Coefficient</t>
  </si>
  <si>
    <t>CDSW</t>
  </si>
  <si>
    <t>k_ven_ustc</t>
  </si>
  <si>
    <t>Rate Constant to Urinary Storage from Venous Blood</t>
  </si>
  <si>
    <t>Rate Constant to Urinary Storage from Kidney Filtrate</t>
  </si>
  <si>
    <t>F_inh</t>
  </si>
  <si>
    <t>Inhalation: Fraction Absorbed</t>
  </si>
  <si>
    <t>Use the units specified here for the parameters below unless otherwise specified.</t>
  </si>
  <si>
    <t>The model is automatically converted to, run, and output in units of mg, L, h.</t>
  </si>
  <si>
    <t xml:space="preserve">tissue compartment 1:blood partition coefficient - </t>
  </si>
  <si>
    <t xml:space="preserve">tissue compartment 1 blood flow rate fraction - </t>
  </si>
  <si>
    <t>GE_ss</t>
  </si>
  <si>
    <t>Model gas exchange using steady state approximation?</t>
  </si>
  <si>
    <t>Model venous blood using steady state approximation?</t>
  </si>
  <si>
    <t>Model arterial blood using steady state approximation?</t>
  </si>
  <si>
    <t>exist_lung</t>
  </si>
  <si>
    <t>Include an explicit lung compartment (as part of inhalation model)?</t>
  </si>
  <si>
    <t>Default Value</t>
  </si>
  <si>
    <t>Columns F and further right can be used for notes and will not be used by the model simulation code.</t>
  </si>
  <si>
    <t>Y</t>
  </si>
  <si>
    <t>Kidney filtrate flow rate fraction</t>
  </si>
  <si>
    <t>k_GFRc</t>
  </si>
  <si>
    <t>fraction of cardiac output</t>
  </si>
  <si>
    <t>fraction of total body volume</t>
  </si>
  <si>
    <t>Not Currently Used</t>
  </si>
  <si>
    <t>volume/time/BW^AS_co</t>
  </si>
  <si>
    <t>mass/time/BW^AS_met</t>
  </si>
  <si>
    <t>1/time/BW^AS_cl</t>
  </si>
  <si>
    <t>mg/L</t>
  </si>
  <si>
    <t>Q_bal</t>
  </si>
  <si>
    <t>Blood Flow Fraction Balance Check</t>
  </si>
  <si>
    <t>Should be Zero</t>
  </si>
  <si>
    <t>V_bal</t>
  </si>
  <si>
    <t>Volume Fraction Check</t>
  </si>
  <si>
    <t>Should be between 0.8 and 1.2</t>
  </si>
  <si>
    <t>k_enz_resyn</t>
  </si>
  <si>
    <t>Enzyme resynthesis rate</t>
  </si>
  <si>
    <t>k_enz_loss</t>
  </si>
  <si>
    <t xml:space="preserve">Second order rate constant for enzyme destruction </t>
  </si>
  <si>
    <t>volume/mass</t>
  </si>
  <si>
    <t>k_met_omc</t>
  </si>
  <si>
    <t>Metabolism: Other Metabolizing Tissues: 1st order rate constant</t>
  </si>
  <si>
    <t>Oral Absorption Rate from GI lumen to GI tissue</t>
  </si>
  <si>
    <t>Oral Absorption Rate from GI lumen to liver</t>
  </si>
  <si>
    <t>Oral Absorption Rate from GI tissue to liver</t>
  </si>
  <si>
    <t>Rate Constant to Feces from GI tissue</t>
  </si>
  <si>
    <t>GI tissue volume fraction</t>
  </si>
  <si>
    <t>GI tissue blood flow rate fraction</t>
  </si>
  <si>
    <t>GI tissue:blood partition coefficient</t>
  </si>
  <si>
    <t>total blood</t>
  </si>
  <si>
    <t>venous blood</t>
  </si>
  <si>
    <t>arterial blood</t>
  </si>
  <si>
    <t>lung</t>
  </si>
  <si>
    <t>gi tissue</t>
  </si>
  <si>
    <t>liver</t>
  </si>
  <si>
    <t>kidney</t>
  </si>
  <si>
    <t>kidney filtrate</t>
  </si>
  <si>
    <t>tissue 4</t>
  </si>
  <si>
    <t>tissue 5</t>
  </si>
  <si>
    <t>other metabolizing tissue</t>
  </si>
  <si>
    <t>rest of body</t>
  </si>
  <si>
    <t>AS_cl_met</t>
  </si>
  <si>
    <t>Allometric Scaling Exponent: First Order Metabolic Parameters</t>
  </si>
  <si>
    <t>Allometric Scaling Exponent: Other First Order Clearance Parameters</t>
  </si>
  <si>
    <t>This should be (AS_met - 1), if representing V_max/K_m/V_tissue.</t>
  </si>
  <si>
    <t>Set point value for when using dynamic enzyme production rates</t>
  </si>
  <si>
    <t>k_loss</t>
  </si>
  <si>
    <t>Direct blood loss rate constant</t>
  </si>
  <si>
    <t>For two blood compartment models, loss comes from venous blood and only available when not using the steady state assumption.</t>
  </si>
  <si>
    <t>volume/time</t>
  </si>
  <si>
    <t>If using a single blood compartment, rate from total blood to urinary storage. If using two blood compartments, rate from venous blood and only if not using the steady state assumption.</t>
  </si>
  <si>
    <t>V_max_bind_li</t>
  </si>
  <si>
    <t>K_m_bind_li</t>
  </si>
  <si>
    <t>k_off_li</t>
  </si>
  <si>
    <t>Can also use GI tissue with no blood flow rate to represent a second GI compartment</t>
  </si>
  <si>
    <t>If setting GE_ss to "N", then exist_lung must be set to "Y", otherwise air cannot interact with the body. (If exist_lung is "Y", then GE_ss can be "Y" or "N".)</t>
  </si>
  <si>
    <t>If not constant, provide table of values and corresponding times as input to PBPK_run()</t>
  </si>
  <si>
    <t>Free Fraction of chemical in plasma (initial value)</t>
  </si>
  <si>
    <t>Model Parameters (not included in .model file)</t>
  </si>
  <si>
    <t>1/time/BW^AS_cl_met</t>
  </si>
  <si>
    <t>num.blood.comp</t>
  </si>
  <si>
    <t>Styrene</t>
  </si>
  <si>
    <t>rat</t>
  </si>
  <si>
    <t>male</t>
  </si>
  <si>
    <t>mg</t>
  </si>
  <si>
    <t>L</t>
  </si>
  <si>
    <t>h</t>
  </si>
  <si>
    <t>2</t>
  </si>
  <si>
    <t>L/h</t>
  </si>
  <si>
    <t>Values From Paper</t>
  </si>
  <si>
    <t>BW</t>
  </si>
  <si>
    <t>mg/h</t>
  </si>
  <si>
    <t>Q_alv/Q_cardiac</t>
  </si>
  <si>
    <t>tissue compartment 1 volume fraction - fat</t>
  </si>
  <si>
    <t>tissue compartment 2 volume fraction - muscle</t>
  </si>
  <si>
    <t>tissue compartment 3 volume fraction - richly perfused</t>
  </si>
  <si>
    <t>fat</t>
  </si>
  <si>
    <t>muscle</t>
  </si>
  <si>
    <t>richly perfused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</si>
</sst>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2" tint="-9.9978637043366805E-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0" fillId="2" borderId="0" xfId="0" applyFill="1"/>
    <xf numFmtId="49" fontId="0" fillId="0" borderId="0" xfId="0" applyNumberFormat="1"/>
    <xf numFmtId="11" fontId="0" fillId="0" borderId="0" xfId="0" applyNumberFormat="1"/>
  </cellXfs>
  <cellStyles count="1">
    <cellStyle name="Normal" xfId="0" builtinId="0"/>
  </cellStyles>
  <dxfs count="6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3.xml"/><Relationship Id="rId3" Type="http://schemas.openxmlformats.org/officeDocument/2006/relationships/styles" Target="styles.xml"/><Relationship Id="rId7" Type="http://schemas.openxmlformats.org/officeDocument/2006/relationships/customXml" Target="../customXml/item2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Relationship Id="rId9" Type="http://schemas.openxmlformats.org/officeDocument/2006/relationships/customXml" Target="../customXml/item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DCAA70-43B6-4F02-AE2A-67A6EACE5958}">
  <dimension ref="A1:H105"/>
  <sheetViews>
    <sheetView tabSelected="1" zoomScaleNormal="100" workbookViewId="0">
      <selection activeCell="E12" sqref="E12"/>
    </sheetView>
  </sheetViews>
  <sheetFormatPr defaultRowHeight="14.5" x14ac:dyDescent="0.35"/>
  <cols>
    <col min="1" max="1" width="15.26953125" style="1" bestFit="1" customWidth="1"/>
    <col min="2" max="2" width="51" bestFit="1" customWidth="1"/>
    <col min="3" max="3" width="20.453125" bestFit="1" customWidth="1"/>
    <col min="4" max="4" width="13.08984375" customWidth="1"/>
    <col min="5" max="5" width="22.26953125" bestFit="1" customWidth="1"/>
    <col min="6" max="6" width="19.26953125" bestFit="1" customWidth="1"/>
    <col min="7" max="7" width="12.453125" bestFit="1" customWidth="1"/>
    <col min="8" max="8" width="17.54296875" bestFit="1" customWidth="1"/>
    <col min="9" max="9" width="6" bestFit="1" customWidth="1"/>
    <col min="10" max="10" width="13.54296875" customWidth="1"/>
  </cols>
  <sheetData>
    <row r="1" spans="1:6" x14ac:dyDescent="0.35">
      <c r="A1" s="1" t="s">
        <v>0</v>
      </c>
      <c r="B1" s="1" t="s">
        <v>1</v>
      </c>
      <c r="C1" s="1" t="s">
        <v>2</v>
      </c>
      <c r="D1" s="1" t="s">
        <v>181</v>
      </c>
      <c r="E1" s="1" t="s">
        <v>3</v>
      </c>
      <c r="F1" s="1" t="s">
        <v>118</v>
      </c>
    </row>
    <row r="2" spans="1:6" x14ac:dyDescent="0.35">
      <c r="A2" s="1" t="s">
        <v>4</v>
      </c>
      <c r="B2" t="s">
        <v>5</v>
      </c>
      <c r="E2" t="s">
        <v>245</v>
      </c>
      <c r="F2" t="s">
        <v>182</v>
      </c>
    </row>
    <row r="3" spans="1:6" x14ac:dyDescent="0.35">
      <c r="A3" s="1" t="s">
        <v>6</v>
      </c>
      <c r="B3" t="s">
        <v>7</v>
      </c>
      <c r="E3" t="s">
        <v>246</v>
      </c>
    </row>
    <row r="4" spans="1:6" x14ac:dyDescent="0.35">
      <c r="A4" s="1" t="s">
        <v>8</v>
      </c>
      <c r="B4" t="s">
        <v>9</v>
      </c>
      <c r="E4" t="s">
        <v>247</v>
      </c>
    </row>
    <row r="5" spans="1:6" x14ac:dyDescent="0.35">
      <c r="A5" s="1" t="s">
        <v>10</v>
      </c>
      <c r="B5" t="s">
        <v>11</v>
      </c>
      <c r="C5" t="s">
        <v>12</v>
      </c>
      <c r="E5" t="s">
        <v>248</v>
      </c>
      <c r="F5" t="s">
        <v>171</v>
      </c>
    </row>
    <row r="6" spans="1:6" x14ac:dyDescent="0.35">
      <c r="A6" s="1" t="s">
        <v>13</v>
      </c>
      <c r="B6" t="s">
        <v>14</v>
      </c>
      <c r="C6" t="s">
        <v>15</v>
      </c>
      <c r="E6" t="s">
        <v>249</v>
      </c>
      <c r="F6" t="s">
        <v>172</v>
      </c>
    </row>
    <row r="7" spans="1:6" x14ac:dyDescent="0.35">
      <c r="A7" s="1" t="s">
        <v>16</v>
      </c>
      <c r="B7" t="s">
        <v>17</v>
      </c>
      <c r="C7" t="s">
        <v>18</v>
      </c>
      <c r="E7" t="s">
        <v>250</v>
      </c>
    </row>
    <row r="8" spans="1:6" x14ac:dyDescent="0.35">
      <c r="A8" s="1" t="s">
        <v>20</v>
      </c>
      <c r="B8" t="s">
        <v>21</v>
      </c>
      <c r="C8" t="s">
        <v>19</v>
      </c>
      <c r="E8" t="s">
        <v>183</v>
      </c>
      <c r="F8" t="s">
        <v>240</v>
      </c>
    </row>
    <row r="9" spans="1:6" x14ac:dyDescent="0.35">
      <c r="A9" s="1" t="s">
        <v>244</v>
      </c>
      <c r="B9" t="s">
        <v>23</v>
      </c>
      <c r="C9" t="s">
        <v>24</v>
      </c>
      <c r="D9" s="2">
        <v>2</v>
      </c>
      <c r="E9" s="2" t="s">
        <v>251</v>
      </c>
    </row>
    <row r="10" spans="1:6" x14ac:dyDescent="0.35">
      <c r="A10" s="1" t="s">
        <v>133</v>
      </c>
      <c r="B10" t="s">
        <v>177</v>
      </c>
      <c r="C10" t="s">
        <v>19</v>
      </c>
      <c r="D10" t="s">
        <v>183</v>
      </c>
      <c r="E10" t="s">
        <v>183</v>
      </c>
    </row>
    <row r="11" spans="1:6" x14ac:dyDescent="0.35">
      <c r="A11" s="1" t="s">
        <v>134</v>
      </c>
      <c r="B11" t="s">
        <v>178</v>
      </c>
      <c r="C11" t="s">
        <v>19</v>
      </c>
      <c r="D11" t="s">
        <v>183</v>
      </c>
      <c r="E11" t="s">
        <v>183</v>
      </c>
    </row>
    <row r="12" spans="1:6" x14ac:dyDescent="0.35">
      <c r="A12" s="1" t="s">
        <v>175</v>
      </c>
      <c r="B12" t="s">
        <v>176</v>
      </c>
      <c r="C12" t="s">
        <v>19</v>
      </c>
      <c r="D12" t="s">
        <v>183</v>
      </c>
      <c r="E12" t="s">
        <v>183</v>
      </c>
      <c r="F12" t="s">
        <v>239</v>
      </c>
    </row>
    <row r="13" spans="1:6" x14ac:dyDescent="0.35">
      <c r="A13" s="1" t="s">
        <v>179</v>
      </c>
      <c r="B13" t="s">
        <v>180</v>
      </c>
      <c r="C13" t="s">
        <v>19</v>
      </c>
      <c r="D13" t="s">
        <v>183</v>
      </c>
      <c r="E13" t="s">
        <v>22</v>
      </c>
    </row>
    <row r="14" spans="1:6" x14ac:dyDescent="0.35">
      <c r="A14" s="1" t="s">
        <v>165</v>
      </c>
      <c r="B14" t="s">
        <v>160</v>
      </c>
      <c r="C14" t="s">
        <v>19</v>
      </c>
      <c r="D14" t="s">
        <v>22</v>
      </c>
      <c r="E14" t="s">
        <v>22</v>
      </c>
    </row>
    <row r="15" spans="1:6" x14ac:dyDescent="0.35">
      <c r="A15" s="1" t="s">
        <v>193</v>
      </c>
      <c r="B15" t="s">
        <v>194</v>
      </c>
      <c r="C15" t="s">
        <v>195</v>
      </c>
      <c r="E15">
        <f>1-SUM(E77:E86)</f>
        <v>0</v>
      </c>
    </row>
    <row r="16" spans="1:6" x14ac:dyDescent="0.35">
      <c r="A16" s="1" t="s">
        <v>196</v>
      </c>
      <c r="B16" t="s">
        <v>197</v>
      </c>
      <c r="C16" t="s">
        <v>198</v>
      </c>
      <c r="E16">
        <f>SUM(E62:E76)</f>
        <v>0.91</v>
      </c>
    </row>
    <row r="18" spans="1:7" x14ac:dyDescent="0.35">
      <c r="A18" s="1" t="s">
        <v>0</v>
      </c>
      <c r="B18" s="1" t="s">
        <v>25</v>
      </c>
      <c r="C18" s="1" t="s">
        <v>26</v>
      </c>
      <c r="D18" s="1" t="s">
        <v>181</v>
      </c>
      <c r="E18" s="1" t="s">
        <v>3</v>
      </c>
      <c r="F18" s="1" t="s">
        <v>253</v>
      </c>
    </row>
    <row r="19" spans="1:7" x14ac:dyDescent="0.35">
      <c r="A19" s="1" t="s">
        <v>69</v>
      </c>
      <c r="B19" t="s">
        <v>70</v>
      </c>
      <c r="C19" t="s">
        <v>71</v>
      </c>
      <c r="D19">
        <v>0</v>
      </c>
      <c r="E19">
        <v>104.15</v>
      </c>
      <c r="G19" t="s">
        <v>254</v>
      </c>
    </row>
    <row r="20" spans="1:7" x14ac:dyDescent="0.35">
      <c r="A20" s="1" t="s">
        <v>27</v>
      </c>
      <c r="B20" t="s">
        <v>28</v>
      </c>
      <c r="D20">
        <v>0.75</v>
      </c>
      <c r="G20">
        <v>0.3</v>
      </c>
    </row>
    <row r="21" spans="1:7" x14ac:dyDescent="0.35">
      <c r="A21" s="1" t="s">
        <v>29</v>
      </c>
      <c r="B21" t="s">
        <v>30</v>
      </c>
      <c r="D21">
        <v>0.75</v>
      </c>
    </row>
    <row r="22" spans="1:7" x14ac:dyDescent="0.35">
      <c r="A22" s="1" t="s">
        <v>225</v>
      </c>
      <c r="B22" t="s">
        <v>226</v>
      </c>
      <c r="D22">
        <v>-0.25</v>
      </c>
      <c r="F22" t="s">
        <v>228</v>
      </c>
    </row>
    <row r="23" spans="1:7" x14ac:dyDescent="0.35">
      <c r="A23" s="1" t="s">
        <v>31</v>
      </c>
      <c r="B23" t="s">
        <v>227</v>
      </c>
      <c r="D23">
        <v>-0.25</v>
      </c>
    </row>
    <row r="24" spans="1:7" x14ac:dyDescent="0.35">
      <c r="A24" s="1" t="s">
        <v>32</v>
      </c>
      <c r="B24" t="s">
        <v>33</v>
      </c>
      <c r="C24" t="s">
        <v>189</v>
      </c>
      <c r="D24">
        <v>0</v>
      </c>
      <c r="E24">
        <f>F24/(G20^D20)</f>
        <v>13.913556724454963</v>
      </c>
      <c r="F24">
        <v>5.64</v>
      </c>
      <c r="G24" t="s">
        <v>252</v>
      </c>
    </row>
    <row r="25" spans="1:7" x14ac:dyDescent="0.35">
      <c r="A25" s="1" t="s">
        <v>42</v>
      </c>
      <c r="B25" t="s">
        <v>43</v>
      </c>
      <c r="D25">
        <v>0</v>
      </c>
    </row>
    <row r="26" spans="1:7" x14ac:dyDescent="0.35">
      <c r="A26" s="1" t="s">
        <v>139</v>
      </c>
      <c r="B26" t="s">
        <v>44</v>
      </c>
      <c r="C26" t="s">
        <v>190</v>
      </c>
      <c r="D26">
        <v>0</v>
      </c>
      <c r="E26" s="3"/>
    </row>
    <row r="27" spans="1:7" x14ac:dyDescent="0.35">
      <c r="A27" s="1" t="s">
        <v>140</v>
      </c>
      <c r="B27" t="s">
        <v>45</v>
      </c>
      <c r="C27" t="s">
        <v>46</v>
      </c>
      <c r="D27">
        <v>1</v>
      </c>
      <c r="E27" s="3"/>
    </row>
    <row r="28" spans="1:7" x14ac:dyDescent="0.35">
      <c r="A28" s="1" t="s">
        <v>47</v>
      </c>
      <c r="B28" t="s">
        <v>48</v>
      </c>
      <c r="C28" t="s">
        <v>191</v>
      </c>
      <c r="D28">
        <v>0</v>
      </c>
    </row>
    <row r="29" spans="1:7" x14ac:dyDescent="0.35">
      <c r="A29" s="1" t="s">
        <v>141</v>
      </c>
      <c r="B29" t="s">
        <v>49</v>
      </c>
      <c r="C29" t="s">
        <v>191</v>
      </c>
      <c r="D29">
        <v>0</v>
      </c>
    </row>
    <row r="30" spans="1:7" x14ac:dyDescent="0.35">
      <c r="A30" s="1" t="s">
        <v>142</v>
      </c>
      <c r="B30" t="s">
        <v>209</v>
      </c>
      <c r="C30" t="s">
        <v>36</v>
      </c>
      <c r="D30">
        <v>0</v>
      </c>
    </row>
    <row r="31" spans="1:7" x14ac:dyDescent="0.35">
      <c r="A31" s="1" t="s">
        <v>143</v>
      </c>
      <c r="B31" t="s">
        <v>50</v>
      </c>
      <c r="C31" t="s">
        <v>191</v>
      </c>
      <c r="D31">
        <v>0</v>
      </c>
    </row>
    <row r="32" spans="1:7" x14ac:dyDescent="0.35">
      <c r="A32" s="1" t="s">
        <v>51</v>
      </c>
      <c r="B32" t="s">
        <v>206</v>
      </c>
      <c r="C32" t="s">
        <v>36</v>
      </c>
      <c r="D32">
        <v>0</v>
      </c>
      <c r="F32" t="s">
        <v>238</v>
      </c>
    </row>
    <row r="33" spans="1:8" x14ac:dyDescent="0.35">
      <c r="A33" s="1" t="s">
        <v>52</v>
      </c>
      <c r="B33" t="s">
        <v>207</v>
      </c>
      <c r="C33" t="s">
        <v>36</v>
      </c>
      <c r="D33">
        <v>0</v>
      </c>
    </row>
    <row r="34" spans="1:8" x14ac:dyDescent="0.35">
      <c r="A34" s="1" t="s">
        <v>53</v>
      </c>
      <c r="B34" t="s">
        <v>208</v>
      </c>
      <c r="C34" t="s">
        <v>36</v>
      </c>
      <c r="D34">
        <v>0</v>
      </c>
    </row>
    <row r="35" spans="1:8" x14ac:dyDescent="0.35">
      <c r="A35" s="1" t="s">
        <v>54</v>
      </c>
      <c r="B35" t="s">
        <v>55</v>
      </c>
      <c r="C35" t="s">
        <v>36</v>
      </c>
      <c r="D35">
        <v>0</v>
      </c>
    </row>
    <row r="36" spans="1:8" x14ac:dyDescent="0.35">
      <c r="A36" s="1" t="s">
        <v>166</v>
      </c>
      <c r="B36" t="s">
        <v>167</v>
      </c>
      <c r="C36" t="s">
        <v>191</v>
      </c>
      <c r="D36">
        <v>0</v>
      </c>
      <c r="F36" t="s">
        <v>234</v>
      </c>
    </row>
    <row r="37" spans="1:8" x14ac:dyDescent="0.35">
      <c r="A37" s="1" t="s">
        <v>56</v>
      </c>
      <c r="B37" t="s">
        <v>168</v>
      </c>
      <c r="C37" t="s">
        <v>191</v>
      </c>
      <c r="D37">
        <v>0</v>
      </c>
    </row>
    <row r="38" spans="1:8" x14ac:dyDescent="0.35">
      <c r="A38" s="1" t="s">
        <v>236</v>
      </c>
      <c r="B38" t="s">
        <v>57</v>
      </c>
      <c r="C38" t="s">
        <v>46</v>
      </c>
      <c r="D38">
        <v>1</v>
      </c>
    </row>
    <row r="39" spans="1:8" x14ac:dyDescent="0.35">
      <c r="A39" s="1" t="s">
        <v>235</v>
      </c>
      <c r="B39" t="s">
        <v>58</v>
      </c>
      <c r="C39" t="s">
        <v>59</v>
      </c>
      <c r="D39">
        <v>0</v>
      </c>
    </row>
    <row r="40" spans="1:8" x14ac:dyDescent="0.35">
      <c r="A40" s="1" t="s">
        <v>237</v>
      </c>
      <c r="B40" t="s">
        <v>60</v>
      </c>
      <c r="C40" t="s">
        <v>36</v>
      </c>
      <c r="D40">
        <v>0</v>
      </c>
    </row>
    <row r="41" spans="1:8" x14ac:dyDescent="0.35">
      <c r="A41" s="1" t="s">
        <v>144</v>
      </c>
      <c r="B41" t="s">
        <v>61</v>
      </c>
      <c r="C41" t="s">
        <v>190</v>
      </c>
      <c r="D41">
        <v>0</v>
      </c>
      <c r="E41">
        <f>F41/(G20^D21)</f>
        <v>8.8809936539074243</v>
      </c>
      <c r="F41">
        <v>3.6</v>
      </c>
      <c r="G41" t="s">
        <v>255</v>
      </c>
      <c r="H41" t="s">
        <v>229</v>
      </c>
    </row>
    <row r="42" spans="1:8" x14ac:dyDescent="0.35">
      <c r="A42" s="1" t="s">
        <v>145</v>
      </c>
      <c r="B42" t="s">
        <v>62</v>
      </c>
      <c r="C42" t="s">
        <v>46</v>
      </c>
      <c r="D42">
        <v>1</v>
      </c>
      <c r="E42">
        <v>0.36</v>
      </c>
    </row>
    <row r="43" spans="1:8" x14ac:dyDescent="0.35">
      <c r="A43" s="1" t="s">
        <v>146</v>
      </c>
      <c r="B43" t="s">
        <v>63</v>
      </c>
      <c r="C43" t="s">
        <v>243</v>
      </c>
      <c r="D43">
        <v>0</v>
      </c>
    </row>
    <row r="44" spans="1:8" x14ac:dyDescent="0.35">
      <c r="A44" s="1" t="s">
        <v>147</v>
      </c>
      <c r="B44" t="s">
        <v>64</v>
      </c>
      <c r="C44" t="s">
        <v>190</v>
      </c>
      <c r="D44">
        <v>0</v>
      </c>
      <c r="F44" t="s">
        <v>229</v>
      </c>
    </row>
    <row r="45" spans="1:8" x14ac:dyDescent="0.35">
      <c r="A45" s="1" t="s">
        <v>148</v>
      </c>
      <c r="B45" t="s">
        <v>65</v>
      </c>
      <c r="C45" t="s">
        <v>46</v>
      </c>
      <c r="D45">
        <v>1</v>
      </c>
    </row>
    <row r="46" spans="1:8" x14ac:dyDescent="0.35">
      <c r="A46" s="1" t="s">
        <v>204</v>
      </c>
      <c r="B46" t="s">
        <v>205</v>
      </c>
      <c r="C46" t="s">
        <v>243</v>
      </c>
      <c r="D46">
        <v>0</v>
      </c>
    </row>
    <row r="47" spans="1:8" x14ac:dyDescent="0.35">
      <c r="A47" s="1" t="s">
        <v>149</v>
      </c>
      <c r="B47" t="s">
        <v>66</v>
      </c>
      <c r="C47" t="s">
        <v>190</v>
      </c>
      <c r="D47">
        <v>0</v>
      </c>
      <c r="F47" t="s">
        <v>229</v>
      </c>
    </row>
    <row r="48" spans="1:8" x14ac:dyDescent="0.35">
      <c r="A48" s="1" t="s">
        <v>150</v>
      </c>
      <c r="B48" t="s">
        <v>67</v>
      </c>
      <c r="C48" t="s">
        <v>46</v>
      </c>
      <c r="D48">
        <v>1</v>
      </c>
    </row>
    <row r="49" spans="1:7" x14ac:dyDescent="0.35">
      <c r="A49" s="1" t="s">
        <v>151</v>
      </c>
      <c r="B49" t="s">
        <v>68</v>
      </c>
      <c r="C49" t="s">
        <v>243</v>
      </c>
      <c r="D49">
        <v>0</v>
      </c>
    </row>
    <row r="50" spans="1:7" x14ac:dyDescent="0.35">
      <c r="A50" s="1" t="s">
        <v>37</v>
      </c>
      <c r="B50" t="s">
        <v>38</v>
      </c>
      <c r="D50">
        <v>0</v>
      </c>
      <c r="E50">
        <f>4.5/F24</f>
        <v>0.79787234042553201</v>
      </c>
      <c r="F50" t="s">
        <v>256</v>
      </c>
    </row>
    <row r="51" spans="1:7" x14ac:dyDescent="0.35">
      <c r="A51" s="1" t="s">
        <v>169</v>
      </c>
      <c r="B51" t="s">
        <v>170</v>
      </c>
      <c r="D51">
        <v>1</v>
      </c>
    </row>
    <row r="52" spans="1:7" x14ac:dyDescent="0.35">
      <c r="A52" s="1" t="s">
        <v>39</v>
      </c>
      <c r="B52" t="s">
        <v>40</v>
      </c>
      <c r="D52">
        <v>1</v>
      </c>
      <c r="E52">
        <v>40</v>
      </c>
    </row>
    <row r="53" spans="1:7" x14ac:dyDescent="0.35">
      <c r="A53" s="1" t="s">
        <v>185</v>
      </c>
      <c r="B53" t="s">
        <v>184</v>
      </c>
      <c r="C53" t="s">
        <v>186</v>
      </c>
      <c r="D53">
        <v>0</v>
      </c>
    </row>
    <row r="54" spans="1:7" x14ac:dyDescent="0.35">
      <c r="A54" s="1" t="s">
        <v>161</v>
      </c>
      <c r="B54" t="s">
        <v>163</v>
      </c>
      <c r="C54" t="s">
        <v>192</v>
      </c>
      <c r="D54">
        <v>1</v>
      </c>
    </row>
    <row r="55" spans="1:7" x14ac:dyDescent="0.35">
      <c r="A55" s="1" t="s">
        <v>162</v>
      </c>
      <c r="B55" t="s">
        <v>164</v>
      </c>
      <c r="D55">
        <v>0</v>
      </c>
    </row>
    <row r="56" spans="1:7" x14ac:dyDescent="0.35">
      <c r="A56" s="1" t="s">
        <v>199</v>
      </c>
      <c r="B56" t="s">
        <v>200</v>
      </c>
      <c r="C56" t="s">
        <v>36</v>
      </c>
      <c r="D56">
        <v>0</v>
      </c>
    </row>
    <row r="57" spans="1:7" x14ac:dyDescent="0.35">
      <c r="A57" s="1" t="s">
        <v>201</v>
      </c>
      <c r="B57" t="s">
        <v>202</v>
      </c>
      <c r="C57" t="s">
        <v>203</v>
      </c>
      <c r="D57">
        <v>0</v>
      </c>
    </row>
    <row r="58" spans="1:7" x14ac:dyDescent="0.35">
      <c r="A58" s="1" t="s">
        <v>230</v>
      </c>
      <c r="B58" t="s">
        <v>231</v>
      </c>
      <c r="C58" t="s">
        <v>233</v>
      </c>
      <c r="D58">
        <v>0</v>
      </c>
      <c r="F58" t="s">
        <v>232</v>
      </c>
    </row>
    <row r="59" spans="1:7" x14ac:dyDescent="0.35">
      <c r="A59" s="1" t="s">
        <v>41</v>
      </c>
      <c r="B59" t="s">
        <v>241</v>
      </c>
      <c r="D59">
        <v>1</v>
      </c>
    </row>
    <row r="61" spans="1:7" x14ac:dyDescent="0.35">
      <c r="A61" s="1" t="s">
        <v>0</v>
      </c>
      <c r="B61" s="1" t="s">
        <v>119</v>
      </c>
      <c r="C61" s="1" t="s">
        <v>26</v>
      </c>
      <c r="D61" s="1" t="s">
        <v>181</v>
      </c>
      <c r="E61" s="1" t="s">
        <v>3</v>
      </c>
    </row>
    <row r="62" spans="1:7" x14ac:dyDescent="0.35">
      <c r="A62" s="1" t="s">
        <v>79</v>
      </c>
      <c r="B62" t="s">
        <v>80</v>
      </c>
      <c r="C62" t="s">
        <v>187</v>
      </c>
      <c r="D62">
        <v>1</v>
      </c>
      <c r="G62" t="s">
        <v>213</v>
      </c>
    </row>
    <row r="63" spans="1:7" x14ac:dyDescent="0.35">
      <c r="A63" s="1" t="s">
        <v>135</v>
      </c>
      <c r="B63" t="s">
        <v>136</v>
      </c>
      <c r="C63" t="s">
        <v>187</v>
      </c>
      <c r="D63">
        <v>1</v>
      </c>
      <c r="G63" t="s">
        <v>214</v>
      </c>
    </row>
    <row r="64" spans="1:7" x14ac:dyDescent="0.35">
      <c r="A64" s="1" t="s">
        <v>137</v>
      </c>
      <c r="B64" t="s">
        <v>138</v>
      </c>
      <c r="C64" t="s">
        <v>187</v>
      </c>
      <c r="D64">
        <v>1</v>
      </c>
      <c r="G64" t="s">
        <v>215</v>
      </c>
    </row>
    <row r="65" spans="1:7" x14ac:dyDescent="0.35">
      <c r="A65" s="1" t="s">
        <v>82</v>
      </c>
      <c r="B65" t="s">
        <v>81</v>
      </c>
      <c r="C65" t="s">
        <v>187</v>
      </c>
      <c r="D65">
        <v>1</v>
      </c>
      <c r="G65" t="s">
        <v>216</v>
      </c>
    </row>
    <row r="66" spans="1:7" x14ac:dyDescent="0.35">
      <c r="A66" s="1" t="s">
        <v>88</v>
      </c>
      <c r="B66" t="s">
        <v>210</v>
      </c>
      <c r="C66" t="s">
        <v>187</v>
      </c>
      <c r="D66">
        <v>1</v>
      </c>
      <c r="G66" t="s">
        <v>217</v>
      </c>
    </row>
    <row r="67" spans="1:7" x14ac:dyDescent="0.35">
      <c r="A67" s="1" t="s">
        <v>89</v>
      </c>
      <c r="B67" t="s">
        <v>83</v>
      </c>
      <c r="C67" t="s">
        <v>187</v>
      </c>
      <c r="D67">
        <v>1</v>
      </c>
      <c r="E67">
        <f>F67/G20</f>
        <v>0.04</v>
      </c>
      <c r="F67">
        <v>1.2E-2</v>
      </c>
      <c r="G67" t="s">
        <v>218</v>
      </c>
    </row>
    <row r="68" spans="1:7" x14ac:dyDescent="0.35">
      <c r="A68" s="1" t="s">
        <v>90</v>
      </c>
      <c r="B68" t="s">
        <v>84</v>
      </c>
      <c r="C68" t="s">
        <v>187</v>
      </c>
      <c r="D68">
        <v>1</v>
      </c>
      <c r="G68" t="s">
        <v>219</v>
      </c>
    </row>
    <row r="69" spans="1:7" x14ac:dyDescent="0.35">
      <c r="A69" s="1" t="s">
        <v>91</v>
      </c>
      <c r="B69" t="s">
        <v>85</v>
      </c>
      <c r="C69" t="s">
        <v>187</v>
      </c>
      <c r="D69">
        <v>1</v>
      </c>
      <c r="G69" t="s">
        <v>220</v>
      </c>
    </row>
    <row r="70" spans="1:7" x14ac:dyDescent="0.35">
      <c r="A70" s="1" t="s">
        <v>92</v>
      </c>
      <c r="B70" t="s">
        <v>257</v>
      </c>
      <c r="C70" t="s">
        <v>187</v>
      </c>
      <c r="D70">
        <v>1</v>
      </c>
      <c r="E70">
        <f>F70/G20</f>
        <v>0.09</v>
      </c>
      <c r="F70">
        <v>2.7E-2</v>
      </c>
      <c r="G70" t="s">
        <v>260</v>
      </c>
    </row>
    <row r="71" spans="1:7" x14ac:dyDescent="0.35">
      <c r="A71" s="1" t="s">
        <v>93</v>
      </c>
      <c r="B71" t="s">
        <v>258</v>
      </c>
      <c r="C71" t="s">
        <v>187</v>
      </c>
      <c r="D71">
        <v>1</v>
      </c>
      <c r="E71">
        <f>F71/G20</f>
        <v>0.73</v>
      </c>
      <c r="F71">
        <v>0.219</v>
      </c>
      <c r="G71" t="s">
        <v>261</v>
      </c>
    </row>
    <row r="72" spans="1:7" x14ac:dyDescent="0.35">
      <c r="A72" s="1" t="s">
        <v>94</v>
      </c>
      <c r="B72" t="s">
        <v>259</v>
      </c>
      <c r="C72" t="s">
        <v>187</v>
      </c>
      <c r="D72">
        <v>1</v>
      </c>
      <c r="E72">
        <f>F72/G20</f>
        <v>0.05</v>
      </c>
      <c r="F72">
        <v>1.4999999999999999E-2</v>
      </c>
      <c r="G72" t="s">
        <v>262</v>
      </c>
    </row>
    <row r="73" spans="1:7" x14ac:dyDescent="0.35">
      <c r="A73" s="1" t="s">
        <v>95</v>
      </c>
      <c r="B73" t="s">
        <v>86</v>
      </c>
      <c r="C73" t="s">
        <v>187</v>
      </c>
      <c r="D73">
        <v>1</v>
      </c>
      <c r="G73" t="s">
        <v>221</v>
      </c>
    </row>
    <row r="74" spans="1:7" x14ac:dyDescent="0.35">
      <c r="A74" s="1" t="s">
        <v>96</v>
      </c>
      <c r="B74" t="s">
        <v>87</v>
      </c>
      <c r="C74" t="s">
        <v>187</v>
      </c>
      <c r="D74">
        <v>1</v>
      </c>
      <c r="G74" t="s">
        <v>222</v>
      </c>
    </row>
    <row r="75" spans="1:7" x14ac:dyDescent="0.35">
      <c r="A75" s="1" t="s">
        <v>97</v>
      </c>
      <c r="B75" t="s">
        <v>130</v>
      </c>
      <c r="C75" t="s">
        <v>187</v>
      </c>
      <c r="D75">
        <v>1</v>
      </c>
      <c r="G75" t="s">
        <v>223</v>
      </c>
    </row>
    <row r="76" spans="1:7" x14ac:dyDescent="0.35">
      <c r="A76" s="1" t="s">
        <v>152</v>
      </c>
      <c r="B76" t="s">
        <v>153</v>
      </c>
      <c r="C76" t="s">
        <v>187</v>
      </c>
      <c r="D76">
        <v>1</v>
      </c>
      <c r="G76" t="s">
        <v>224</v>
      </c>
    </row>
    <row r="77" spans="1:7" x14ac:dyDescent="0.35">
      <c r="A77" s="1" t="s">
        <v>103</v>
      </c>
      <c r="B77" t="s">
        <v>211</v>
      </c>
      <c r="C77" t="s">
        <v>186</v>
      </c>
      <c r="D77">
        <v>0</v>
      </c>
      <c r="G77" t="s">
        <v>217</v>
      </c>
    </row>
    <row r="78" spans="1:7" x14ac:dyDescent="0.35">
      <c r="A78" s="1" t="s">
        <v>104</v>
      </c>
      <c r="B78" t="s">
        <v>98</v>
      </c>
      <c r="C78" t="s">
        <v>186</v>
      </c>
      <c r="D78">
        <v>0</v>
      </c>
      <c r="E78">
        <f>F78/F24</f>
        <v>0.37411347517730498</v>
      </c>
      <c r="F78">
        <v>2.11</v>
      </c>
      <c r="G78" t="s">
        <v>218</v>
      </c>
    </row>
    <row r="79" spans="1:7" x14ac:dyDescent="0.35">
      <c r="A79" s="1" t="s">
        <v>105</v>
      </c>
      <c r="B79" t="s">
        <v>99</v>
      </c>
      <c r="C79" t="s">
        <v>186</v>
      </c>
      <c r="D79">
        <v>0</v>
      </c>
      <c r="G79" t="s">
        <v>219</v>
      </c>
    </row>
    <row r="80" spans="1:7" x14ac:dyDescent="0.35">
      <c r="A80" s="1" t="s">
        <v>106</v>
      </c>
      <c r="B80" t="s">
        <v>174</v>
      </c>
      <c r="C80" t="s">
        <v>186</v>
      </c>
      <c r="D80">
        <v>0</v>
      </c>
      <c r="E80">
        <f>F80/F24</f>
        <v>8.8652482269503549E-2</v>
      </c>
      <c r="F80">
        <v>0.5</v>
      </c>
      <c r="G80" t="s">
        <v>260</v>
      </c>
    </row>
    <row r="81" spans="1:7" x14ac:dyDescent="0.35">
      <c r="A81" s="1" t="s">
        <v>107</v>
      </c>
      <c r="B81" t="s">
        <v>156</v>
      </c>
      <c r="C81" t="s">
        <v>186</v>
      </c>
      <c r="D81">
        <v>0</v>
      </c>
      <c r="E81">
        <f>F81/F24</f>
        <v>0.12056737588652484</v>
      </c>
      <c r="F81">
        <v>0.68</v>
      </c>
      <c r="G81" t="s">
        <v>261</v>
      </c>
    </row>
    <row r="82" spans="1:7" x14ac:dyDescent="0.35">
      <c r="A82" s="1" t="s">
        <v>108</v>
      </c>
      <c r="B82" t="s">
        <v>100</v>
      </c>
      <c r="C82" t="s">
        <v>186</v>
      </c>
      <c r="D82">
        <v>0</v>
      </c>
      <c r="E82">
        <f>F82/F24</f>
        <v>0.41666666666666669</v>
      </c>
      <c r="F82">
        <v>2.35</v>
      </c>
      <c r="G82" t="s">
        <v>262</v>
      </c>
    </row>
    <row r="83" spans="1:7" x14ac:dyDescent="0.35">
      <c r="A83" s="1" t="s">
        <v>109</v>
      </c>
      <c r="B83" t="s">
        <v>101</v>
      </c>
      <c r="C83" t="s">
        <v>186</v>
      </c>
      <c r="D83">
        <v>0</v>
      </c>
      <c r="G83" t="s">
        <v>221</v>
      </c>
    </row>
    <row r="84" spans="1:7" x14ac:dyDescent="0.35">
      <c r="A84" s="1" t="s">
        <v>110</v>
      </c>
      <c r="B84" t="s">
        <v>102</v>
      </c>
      <c r="C84" t="s">
        <v>186</v>
      </c>
      <c r="D84">
        <v>0</v>
      </c>
      <c r="G84" t="s">
        <v>222</v>
      </c>
    </row>
    <row r="85" spans="1:7" x14ac:dyDescent="0.35">
      <c r="A85" s="1" t="s">
        <v>111</v>
      </c>
      <c r="B85" t="s">
        <v>131</v>
      </c>
      <c r="C85" t="s">
        <v>186</v>
      </c>
      <c r="D85">
        <v>0</v>
      </c>
      <c r="G85" t="s">
        <v>223</v>
      </c>
    </row>
    <row r="86" spans="1:7" x14ac:dyDescent="0.35">
      <c r="A86" s="1" t="s">
        <v>154</v>
      </c>
      <c r="B86" t="s">
        <v>155</v>
      </c>
      <c r="C86" t="s">
        <v>186</v>
      </c>
      <c r="D86">
        <v>0</v>
      </c>
      <c r="G86" t="s">
        <v>224</v>
      </c>
    </row>
    <row r="87" spans="1:7" x14ac:dyDescent="0.35">
      <c r="A87" s="1" t="s">
        <v>120</v>
      </c>
      <c r="B87" t="s">
        <v>112</v>
      </c>
      <c r="D87">
        <v>1</v>
      </c>
      <c r="G87" t="s">
        <v>216</v>
      </c>
    </row>
    <row r="88" spans="1:7" x14ac:dyDescent="0.35">
      <c r="A88" s="1" t="s">
        <v>121</v>
      </c>
      <c r="B88" t="s">
        <v>212</v>
      </c>
      <c r="D88">
        <v>1</v>
      </c>
      <c r="G88" t="s">
        <v>217</v>
      </c>
    </row>
    <row r="89" spans="1:7" x14ac:dyDescent="0.35">
      <c r="A89" s="1" t="s">
        <v>122</v>
      </c>
      <c r="B89" t="s">
        <v>113</v>
      </c>
      <c r="D89">
        <v>1</v>
      </c>
      <c r="E89">
        <v>2.7</v>
      </c>
      <c r="G89" t="s">
        <v>218</v>
      </c>
    </row>
    <row r="90" spans="1:7" x14ac:dyDescent="0.35">
      <c r="A90" s="1" t="s">
        <v>123</v>
      </c>
      <c r="B90" t="s">
        <v>114</v>
      </c>
      <c r="D90">
        <v>1</v>
      </c>
      <c r="G90" t="s">
        <v>219</v>
      </c>
    </row>
    <row r="91" spans="1:7" x14ac:dyDescent="0.35">
      <c r="A91" s="1" t="s">
        <v>124</v>
      </c>
      <c r="B91" t="s">
        <v>173</v>
      </c>
      <c r="D91">
        <v>1</v>
      </c>
      <c r="E91">
        <v>50</v>
      </c>
      <c r="G91" t="s">
        <v>260</v>
      </c>
    </row>
    <row r="92" spans="1:7" x14ac:dyDescent="0.35">
      <c r="A92" s="1" t="s">
        <v>125</v>
      </c>
      <c r="B92" t="s">
        <v>159</v>
      </c>
      <c r="D92">
        <v>1</v>
      </c>
      <c r="E92">
        <v>1</v>
      </c>
      <c r="G92" t="s">
        <v>261</v>
      </c>
    </row>
    <row r="93" spans="1:7" x14ac:dyDescent="0.35">
      <c r="A93" s="1" t="s">
        <v>126</v>
      </c>
      <c r="B93" t="s">
        <v>115</v>
      </c>
      <c r="D93">
        <v>1</v>
      </c>
      <c r="E93">
        <v>5.7</v>
      </c>
      <c r="G93" t="s">
        <v>262</v>
      </c>
    </row>
    <row r="94" spans="1:7" x14ac:dyDescent="0.35">
      <c r="A94" s="1" t="s">
        <v>127</v>
      </c>
      <c r="B94" t="s">
        <v>116</v>
      </c>
      <c r="D94">
        <v>1</v>
      </c>
      <c r="G94" t="s">
        <v>221</v>
      </c>
    </row>
    <row r="95" spans="1:7" x14ac:dyDescent="0.35">
      <c r="A95" s="1" t="s">
        <v>128</v>
      </c>
      <c r="B95" t="s">
        <v>117</v>
      </c>
      <c r="D95">
        <v>1</v>
      </c>
      <c r="G95" t="s">
        <v>222</v>
      </c>
    </row>
    <row r="96" spans="1:7" x14ac:dyDescent="0.35">
      <c r="A96" s="1" t="s">
        <v>129</v>
      </c>
      <c r="B96" t="s">
        <v>132</v>
      </c>
      <c r="D96">
        <v>1</v>
      </c>
      <c r="G96" t="s">
        <v>223</v>
      </c>
    </row>
    <row r="97" spans="1:7" x14ac:dyDescent="0.35">
      <c r="A97" s="1" t="s">
        <v>157</v>
      </c>
      <c r="B97" t="s">
        <v>158</v>
      </c>
      <c r="D97">
        <v>1</v>
      </c>
      <c r="G97" t="s">
        <v>224</v>
      </c>
    </row>
    <row r="99" spans="1:7" x14ac:dyDescent="0.35">
      <c r="A99" s="1" t="s">
        <v>0</v>
      </c>
      <c r="B99" s="1" t="s">
        <v>242</v>
      </c>
      <c r="C99" s="1" t="s">
        <v>26</v>
      </c>
      <c r="D99" s="1" t="s">
        <v>181</v>
      </c>
      <c r="E99" s="1" t="s">
        <v>3</v>
      </c>
    </row>
    <row r="100" spans="1:7" x14ac:dyDescent="0.35">
      <c r="A100" s="1" t="s">
        <v>34</v>
      </c>
      <c r="B100" t="s">
        <v>35</v>
      </c>
    </row>
    <row r="102" spans="1:7" x14ac:dyDescent="0.35">
      <c r="A102" s="1" t="s">
        <v>0</v>
      </c>
      <c r="B102" s="1" t="s">
        <v>72</v>
      </c>
      <c r="C102" s="1" t="s">
        <v>3</v>
      </c>
      <c r="D102" s="1"/>
      <c r="E102" s="1" t="s">
        <v>188</v>
      </c>
    </row>
    <row r="103" spans="1:7" x14ac:dyDescent="0.35">
      <c r="A103" s="1" t="s">
        <v>73</v>
      </c>
      <c r="B103" t="s">
        <v>74</v>
      </c>
    </row>
    <row r="104" spans="1:7" x14ac:dyDescent="0.35">
      <c r="A104" s="1" t="s">
        <v>75</v>
      </c>
      <c r="B104" t="s">
        <v>76</v>
      </c>
    </row>
    <row r="105" spans="1:7" x14ac:dyDescent="0.35">
      <c r="A105" s="1" t="s">
        <v>77</v>
      </c>
      <c r="B105" t="s">
        <v>78</v>
      </c>
    </row>
  </sheetData>
  <conditionalFormatting sqref="E15">
    <cfRule type="cellIs" dxfId="5" priority="4" operator="greaterThan">
      <formula>0</formula>
    </cfRule>
    <cfRule type="cellIs" dxfId="4" priority="5" operator="lessThan">
      <formula>0</formula>
    </cfRule>
    <cfRule type="cellIs" dxfId="3" priority="6" operator="equal">
      <formula>0</formula>
    </cfRule>
  </conditionalFormatting>
  <conditionalFormatting sqref="E16">
    <cfRule type="cellIs" dxfId="2" priority="1" operator="lessThan">
      <formula>0.8</formula>
    </cfRule>
    <cfRule type="cellIs" dxfId="1" priority="2" operator="greaterThan">
      <formula>1.2</formula>
    </cfRule>
    <cfRule type="cellIs" dxfId="0" priority="3" operator="between">
      <formula>0.8</formula>
      <formula>1.2</formula>
    </cfRule>
  </conditionalFormatting>
  <pageMargins left="0.7" right="0.7" top="0.75" bottom="0.75" header="0.3" footer="0.3"/>
  <pageSetup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SharedContentType xmlns="Microsoft.SharePoint.Taxonomy.ContentTypeSync" SourceId="29f62856-1543-49d4-a736-4569d363f533" ContentTypeId="0x0101" PreviousValue="false"/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Source xmlns="http://schemas.microsoft.com/sharepoint/v3/fields" xsi:nil="true"/>
    <Language xmlns="http://schemas.microsoft.com/sharepoint/v3">English</Language>
    <j747ac98061d40f0aa7bd47e1db5675d xmlns="4ffa91fb-a0ff-4ac5-b2db-65c790d184a4">
      <Terms xmlns="http://schemas.microsoft.com/office/infopath/2007/PartnerControls"/>
    </j747ac98061d40f0aa7bd47e1db5675d>
    <Records_x0020_Status xmlns="93237db7-bebb-43bb-9414-bc3313990c09">Pending</Records_x0020_Status>
    <External_x0020_Contributor xmlns="4ffa91fb-a0ff-4ac5-b2db-65c790d184a4" xsi:nil="true"/>
    <TaxKeywordTaxHTField xmlns="4ffa91fb-a0ff-4ac5-b2db-65c790d184a4">
      <Terms xmlns="http://schemas.microsoft.com/office/infopath/2007/PartnerControls"/>
    </TaxKeywordTaxHTField>
    <Record xmlns="4ffa91fb-a0ff-4ac5-b2db-65c790d184a4">Shared</Record>
    <Rights xmlns="4ffa91fb-a0ff-4ac5-b2db-65c790d184a4" xsi:nil="true"/>
    <Document_x0020_Creation_x0020_Date xmlns="4ffa91fb-a0ff-4ac5-b2db-65c790d184a4">2020-10-14T20:30:29+00:00</Document_x0020_Creation_x0020_Date>
    <EPA_x0020_Office xmlns="4ffa91fb-a0ff-4ac5-b2db-65c790d184a4" xsi:nil="true"/>
    <CategoryDescription xmlns="http://schemas.microsoft.com/sharepoint.v3" xsi:nil="true"/>
    <Identifier xmlns="4ffa91fb-a0ff-4ac5-b2db-65c790d184a4" xsi:nil="true"/>
    <_Coverage xmlns="http://schemas.microsoft.com/sharepoint/v3/fields" xsi:nil="true"/>
    <Creator xmlns="4ffa91fb-a0ff-4ac5-b2db-65c790d184a4">
      <UserInfo>
        <DisplayName/>
        <AccountId xsi:nil="true"/>
        <AccountType/>
      </UserInfo>
    </Creator>
    <EPA_x0020_Related_x0020_Documents xmlns="4ffa91fb-a0ff-4ac5-b2db-65c790d184a4" xsi:nil="true"/>
    <EPA_x0020_Contributor xmlns="4ffa91fb-a0ff-4ac5-b2db-65c790d184a4">
      <UserInfo>
        <DisplayName/>
        <AccountId xsi:nil="true"/>
        <AccountType/>
      </UserInfo>
    </EPA_x0020_Contributor>
    <TaxCatchAll xmlns="4ffa91fb-a0ff-4ac5-b2db-65c790d184a4"/>
    <Records_x0020_Date xmlns="93237db7-bebb-43bb-9414-bc3313990c09" xsi:nil="true"/>
  </documentManagement>
</p:properti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31E6F7E14DB9F64AA435011CFD87FE7C" ma:contentTypeVersion="14" ma:contentTypeDescription="Create a new document." ma:contentTypeScope="" ma:versionID="c974ac748e8c5d1a2dbcb03dc7039540">
  <xsd:schema xmlns:xsd="http://www.w3.org/2001/XMLSchema" xmlns:xs="http://www.w3.org/2001/XMLSchema" xmlns:p="http://schemas.microsoft.com/office/2006/metadata/properties" xmlns:ns1="http://schemas.microsoft.com/sharepoint/v3" xmlns:ns3="4ffa91fb-a0ff-4ac5-b2db-65c790d184a4" xmlns:ns4="http://schemas.microsoft.com/sharepoint.v3" xmlns:ns5="http://schemas.microsoft.com/sharepoint/v3/fields" xmlns:ns6="8686fd38-6384-41df-bf60-a073971185a6" xmlns:ns7="93237db7-bebb-43bb-9414-bc3313990c09" targetNamespace="http://schemas.microsoft.com/office/2006/metadata/properties" ma:root="true" ma:fieldsID="e31f61be74db07117ec521e527c7dfb9" ns1:_="" ns3:_="" ns4:_="" ns5:_="" ns6:_="" ns7:_="">
    <xsd:import namespace="http://schemas.microsoft.com/sharepoint/v3"/>
    <xsd:import namespace="4ffa91fb-a0ff-4ac5-b2db-65c790d184a4"/>
    <xsd:import namespace="http://schemas.microsoft.com/sharepoint.v3"/>
    <xsd:import namespace="http://schemas.microsoft.com/sharepoint/v3/fields"/>
    <xsd:import namespace="8686fd38-6384-41df-bf60-a073971185a6"/>
    <xsd:import namespace="93237db7-bebb-43bb-9414-bc3313990c09"/>
    <xsd:element name="properties">
      <xsd:complexType>
        <xsd:sequence>
          <xsd:element name="documentManagement">
            <xsd:complexType>
              <xsd:all>
                <xsd:element ref="ns3:Document_x0020_Creation_x0020_Date" minOccurs="0"/>
                <xsd:element ref="ns3:Creator" minOccurs="0"/>
                <xsd:element ref="ns3:EPA_x0020_Office" minOccurs="0"/>
                <xsd:element ref="ns3:Record" minOccurs="0"/>
                <xsd:element ref="ns4:CategoryDescription" minOccurs="0"/>
                <xsd:element ref="ns3:Identifier" minOccurs="0"/>
                <xsd:element ref="ns3:EPA_x0020_Contributor" minOccurs="0"/>
                <xsd:element ref="ns3:External_x0020_Contributor" minOccurs="0"/>
                <xsd:element ref="ns5:_Coverage" minOccurs="0"/>
                <xsd:element ref="ns3:EPA_x0020_Related_x0020_Documents" minOccurs="0"/>
                <xsd:element ref="ns5:_Source" minOccurs="0"/>
                <xsd:element ref="ns3:Rights" minOccurs="0"/>
                <xsd:element ref="ns1:Language" minOccurs="0"/>
                <xsd:element ref="ns3:j747ac98061d40f0aa7bd47e1db5675d" minOccurs="0"/>
                <xsd:element ref="ns3:TaxKeywordTaxHTField" minOccurs="0"/>
                <xsd:element ref="ns3:TaxCatchAllLabel" minOccurs="0"/>
                <xsd:element ref="ns3:TaxCatchAll" minOccurs="0"/>
                <xsd:element ref="ns6:MediaServiceMetadata" minOccurs="0"/>
                <xsd:element ref="ns6:MediaServiceFastMetadata" minOccurs="0"/>
                <xsd:element ref="ns6:MediaServiceDateTaken" minOccurs="0"/>
                <xsd:element ref="ns6:MediaServiceAutoTags" minOccurs="0"/>
                <xsd:element ref="ns6:MediaServiceGenerationTime" minOccurs="0"/>
                <xsd:element ref="ns6:MediaServiceEventHashCode" minOccurs="0"/>
                <xsd:element ref="ns6:MediaServiceOCR" minOccurs="0"/>
                <xsd:element ref="ns7:Records_x0020_Status" minOccurs="0"/>
                <xsd:element ref="ns7:Records_x0020_Date" minOccurs="0"/>
                <xsd:element ref="ns7:SharedWithUsers" minOccurs="0"/>
                <xsd:element ref="ns7:SharedWithDetails" minOccurs="0"/>
                <xsd:element ref="ns7:SharingHintHash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http://schemas.microsoft.com/sharepoint/v3" elementFormDefault="qualified">
    <xsd:import namespace="http://schemas.microsoft.com/office/2006/documentManagement/types"/>
    <xsd:import namespace="http://schemas.microsoft.com/office/infopath/2007/PartnerControls"/>
    <xsd:element name="Language" ma:index="17" nillable="true" ma:displayName="Language" ma:default="English" ma:description="Select the document language from the drop down." ma:format="Dropdown" ma:internalName="Language" ma:readOnly="false">
      <xsd:simpleType>
        <xsd:restriction base="dms:Choice">
          <xsd:enumeration value="Arabic (Saudi Arabia)"/>
          <xsd:enumeration value="Bulgarian (Bulgaria)"/>
          <xsd:enumeration value="Chinese (Hong Kong S.A.R.)"/>
          <xsd:enumeration value="Chinese (People's Republic of China)"/>
          <xsd:enumeration value="Chinese (Taiwan)"/>
          <xsd:enumeration value="Croatian (Croatia)"/>
          <xsd:enumeration value="Czech (Czech Republic)"/>
          <xsd:enumeration value="Danish (Denmark)"/>
          <xsd:enumeration value="Dutch (Netherlands)"/>
          <xsd:enumeration value="English"/>
          <xsd:enumeration value="Estonian (Estonia)"/>
          <xsd:enumeration value="Finnish (Finland)"/>
          <xsd:enumeration value="French (France)"/>
          <xsd:enumeration value="German (Germany)"/>
          <xsd:enumeration value="Greek (Greece)"/>
          <xsd:enumeration value="Hebrew (Israel)"/>
          <xsd:enumeration value="Hindi (India)"/>
          <xsd:enumeration value="Hungarian (Hungary)"/>
          <xsd:enumeration value="Indonesian (Indonesia)"/>
          <xsd:enumeration value="Italian (Italy)"/>
          <xsd:enumeration value="Japanese (Japan)"/>
          <xsd:enumeration value="Korean (Korea)"/>
          <xsd:enumeration value="Latvian (Latvia)"/>
          <xsd:enumeration value="Lithuanian (Lithuania)"/>
          <xsd:enumeration value="Malay (Malaysia)"/>
          <xsd:enumeration value="Norwegian (Bokmal) (Norway)"/>
          <xsd:enumeration value="Polish (Poland)"/>
          <xsd:enumeration value="Portuguese (Brazil)"/>
          <xsd:enumeration value="Portuguese (Portugal)"/>
          <xsd:enumeration value="Romanian (Romania)"/>
          <xsd:enumeration value="Russian (Russia)"/>
          <xsd:enumeration value="Serbian (Latin) (Serbia)"/>
          <xsd:enumeration value="Slovak (Slovakia)"/>
          <xsd:enumeration value="Slovenian (Slovenia)"/>
          <xsd:enumeration value="Spanish (Spain)"/>
          <xsd:enumeration value="Swedish (Sweden)"/>
          <xsd:enumeration value="Thai (Thailand)"/>
          <xsd:enumeration value="Turkish (Turkey)"/>
          <xsd:enumeration value="Ukrainian (Ukraine)"/>
          <xsd:enumeration value="Urdu (Islamic Republic of Pakistan)"/>
          <xsd:enumeration value="Vietnamese (Vietnam)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4ffa91fb-a0ff-4ac5-b2db-65c790d184a4" elementFormDefault="qualified">
    <xsd:import namespace="http://schemas.microsoft.com/office/2006/documentManagement/types"/>
    <xsd:import namespace="http://schemas.microsoft.com/office/infopath/2007/PartnerControls"/>
    <xsd:element name="Document_x0020_Creation_x0020_Date" ma:index="2" nillable="true" ma:displayName="Document Date" ma:default="[today]" ma:description="Enter the date this document was last modified. The upload date has been entered by default." ma:format="DateOnly" ma:internalName="Document_x0020_Creation_x0020_Date" ma:readOnly="false">
      <xsd:simpleType>
        <xsd:restriction base="dms:DateTime"/>
      </xsd:simpleType>
    </xsd:element>
    <xsd:element name="Creator" ma:index="3" nillable="true" ma:displayName="Creator" ma:description="Enter the person primarily responsible for the document. The name of the person uploading the document has been entered by default." ma:list="UserInfo" ma:SharePointGroup="0" ma:internalName="Creator" ma:readOnly="false" ma:showField="ImnName">
      <xsd:complexType>
        <xsd:complexContent>
          <xsd:extension base="dms:User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EPA_x0020_Office" ma:index="4" nillable="true" ma:displayName="EPA Office" ma:description="Enter the EPA organization primarily responsible for the document. The office of the person uploading the document has been entered by default." ma:internalName="EPA_x0020_Office" ma:readOnly="false">
      <xsd:simpleType>
        <xsd:restriction base="dms:Text">
          <xsd:maxLength value="255"/>
        </xsd:restriction>
      </xsd:simpleType>
    </xsd:element>
    <xsd:element name="Record" ma:index="5" nillable="true" ma:displayName="Record" ma:default="Shared" ma:description="For documents that provide evidence of EPA decisions and actions, select &quot;Shared&quot; (open access) or &quot;Private&quot; (restricted access)." ma:format="Dropdown" ma:internalName="Record">
      <xsd:simpleType>
        <xsd:restriction base="dms:Choice">
          <xsd:enumeration value="None"/>
          <xsd:enumeration value="Shared"/>
          <xsd:enumeration value="Private"/>
        </xsd:restriction>
      </xsd:simpleType>
    </xsd:element>
    <xsd:element name="Identifier" ma:index="9" nillable="true" ma:displayName="Identifier" ma:description="Enter all EPA identification numbers applicable to this document, one on each line." ma:internalName="Identifier" ma:readOnly="false">
      <xsd:simpleType>
        <xsd:restriction base="dms:Note">
          <xsd:maxLength value="255"/>
        </xsd:restriction>
      </xsd:simpleType>
    </xsd:element>
    <xsd:element name="EPA_x0020_Contributor" ma:index="11" nillable="true" ma:displayName="EPA Contributor" ma:description="Enter an EPA person who contributed to the creation of the document but is not the primary author." ma:list="UserInfo" ma:SharePointGroup="0" ma:internalName="EPA_x0020_Contributor" ma:readOnly="false" ma:showField="ImnName">
      <xsd:complexType>
        <xsd:complexContent>
          <xsd:extension base="dms:User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External_x0020_Contributor" ma:index="12" nillable="true" ma:displayName="External Contributor" ma:description="Enter a non-EPA person who contributed to the creation of the document but is not the primary author." ma:internalName="External_x0020_Contributor" ma:readOnly="false">
      <xsd:simpleType>
        <xsd:restriction base="dms:Note">
          <xsd:maxLength value="255"/>
        </xsd:restriction>
      </xsd:simpleType>
    </xsd:element>
    <xsd:element name="EPA_x0020_Related_x0020_Documents" ma:index="14" nillable="true" ma:displayName="Other Related Documents" ma:description="Enter any related document." ma:internalName="EPA_x0020_Related_x0020_Documents" ma:readOnly="false">
      <xsd:simpleType>
        <xsd:restriction base="dms:Note">
          <xsd:maxLength value="255"/>
        </xsd:restriction>
      </xsd:simpleType>
    </xsd:element>
    <xsd:element name="Rights" ma:index="16" nillable="true" ma:displayName="Rights" ma:description="Enter information about intellectual property rights held over the document (e.g. copyright, patent, trademark)." ma:internalName="Rights" ma:readOnly="false">
      <xsd:simpleType>
        <xsd:restriction base="dms:Note">
          <xsd:maxLength value="255"/>
        </xsd:restriction>
      </xsd:simpleType>
    </xsd:element>
    <xsd:element name="j747ac98061d40f0aa7bd47e1db5675d" ma:index="19" nillable="true" ma:taxonomy="true" ma:internalName="j747ac98061d40f0aa7bd47e1db5675d" ma:taxonomyFieldName="Document_x0020_Type" ma:displayName="Document Type" ma:readOnly="false" ma:default="" ma:fieldId="{3747ac98-061d-40f0-aa7b-d47e1db5675d}" ma:sspId="29f62856-1543-49d4-a736-4569d363f533" ma:termSetId="e06cd6a9-a175-4da0-81cb-8dba7aa394ab" ma:anchorId="00000000-0000-0000-0000-000000000000" ma:open="false" ma:isKeyword="false">
      <xsd:complexType>
        <xsd:sequence>
          <xsd:element ref="pc:Terms" minOccurs="0" maxOccurs="1"/>
        </xsd:sequence>
      </xsd:complexType>
    </xsd:element>
    <xsd:element name="TaxKeywordTaxHTField" ma:index="21" nillable="true" ma:taxonomy="true" ma:internalName="TaxKeywordTaxHTField" ma:taxonomyFieldName="TaxKeyword" ma:displayName="Enterprise Keywords" ma:readOnly="false" ma:fieldId="{23f27201-bee3-471e-b2e7-b64fd8b7ca38}" ma:taxonomyMulti="true" ma:sspId="29f62856-1543-49d4-a736-4569d363f533" ma:termSetId="00000000-0000-0000-0000-000000000000" ma:anchorId="00000000-0000-0000-0000-000000000000" ma:open="true" ma:isKeyword="true">
      <xsd:complexType>
        <xsd:sequence>
          <xsd:element ref="pc:Terms" minOccurs="0" maxOccurs="1"/>
        </xsd:sequence>
      </xsd:complexType>
    </xsd:element>
    <xsd:element name="TaxCatchAllLabel" ma:index="23" nillable="true" ma:displayName="Taxonomy Catch All Column1" ma:hidden="true" ma:list="{a37802d4-57e0-410e-a276-34e3d7c16864}" ma:internalName="TaxCatchAllLabel" ma:readOnly="true" ma:showField="CatchAllDataLabel" ma:web="93237db7-bebb-43bb-9414-bc3313990c09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TaxCatchAll" ma:index="24" nillable="true" ma:displayName="Taxonomy Catch All Column" ma:hidden="true" ma:list="{a37802d4-57e0-410e-a276-34e3d7c16864}" ma:internalName="TaxCatchAll" ma:showField="CatchAllData" ma:web="93237db7-bebb-43bb-9414-bc3313990c09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http://schemas.microsoft.com/sharepoint.v3" elementFormDefault="qualified">
    <xsd:import namespace="http://schemas.microsoft.com/office/2006/documentManagement/types"/>
    <xsd:import namespace="http://schemas.microsoft.com/office/infopath/2007/PartnerControls"/>
    <xsd:element name="CategoryDescription" ma:index="6" nillable="true" ma:displayName="Description" ma:description="Enter a brief description." ma:internalName="CategoryDescription" ma:readOnly="fals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http://schemas.microsoft.com/sharepoint/v3/fields" elementFormDefault="qualified">
    <xsd:import namespace="http://schemas.microsoft.com/office/2006/documentManagement/types"/>
    <xsd:import namespace="http://schemas.microsoft.com/office/infopath/2007/PartnerControls"/>
    <xsd:element name="_Coverage" ma:index="13" nillable="true" ma:displayName="Coverage" ma:description="Enter the geographic location, jurisdiction, or time period for which the document is relevant." ma:internalName="_Coverage" ma:readOnly="false">
      <xsd:simpleType>
        <xsd:restriction base="dms:Text">
          <xsd:maxLength value="255"/>
        </xsd:restriction>
      </xsd:simpleType>
    </xsd:element>
    <xsd:element name="_Source" ma:index="15" nillable="true" ma:displayName="Source" ma:description="Enter a source from which the document is derived." ma:internalName="_Source" ma:readOnly="fals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686fd38-6384-41df-bf60-a073971185a6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2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2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30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31" nillable="true" ma:displayName="Tags" ma:internalName="MediaServiceAutoTags" ma:readOnly="true">
      <xsd:simpleType>
        <xsd:restriction base="dms:Text"/>
      </xsd:simpleType>
    </xsd:element>
    <xsd:element name="MediaServiceGenerationTime" ma:index="32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33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34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3237db7-bebb-43bb-9414-bc3313990c09" elementFormDefault="qualified">
    <xsd:import namespace="http://schemas.microsoft.com/office/2006/documentManagement/types"/>
    <xsd:import namespace="http://schemas.microsoft.com/office/infopath/2007/PartnerControls"/>
    <xsd:element name="Records_x0020_Status" ma:index="35" nillable="true" ma:displayName="Records Status" ma:default="Pending" ma:internalName="Records_x0020_Status">
      <xsd:simpleType>
        <xsd:restriction base="dms:Text"/>
      </xsd:simpleType>
    </xsd:element>
    <xsd:element name="Records_x0020_Date" ma:index="36" nillable="true" ma:displayName="Records Date" ma:hidden="true" ma:internalName="Records_x0020_Date">
      <xsd:simpleType>
        <xsd:restriction base="dms:DateTime"/>
      </xsd:simpleType>
    </xsd:element>
    <xsd:element name="SharedWithUsers" ma:index="37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38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SharingHintHash" ma:index="39" nillable="true" ma:displayName="Sharing Hint Hash" ma:hidden="true" ma:internalName="SharingHintHash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25" ma:displayName="Content Type"/>
        <xsd:element ref="dc:title" minOccurs="0" maxOccurs="1" ma:index="1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7C4A2D8C-C5B5-46A0-8FC1-3730CC1A83D7}">
  <ds:schemaRefs>
    <ds:schemaRef ds:uri="Microsoft.SharePoint.Taxonomy.ContentTypeSync"/>
  </ds:schemaRefs>
</ds:datastoreItem>
</file>

<file path=customXml/itemProps2.xml><?xml version="1.0" encoding="utf-8"?>
<ds:datastoreItem xmlns:ds="http://schemas.openxmlformats.org/officeDocument/2006/customXml" ds:itemID="{4DC26B68-A11F-428F-9051-23DC6334A810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AA939294-F21F-45CD-81A6-3A616888DAC5}">
  <ds:schemaRefs>
    <ds:schemaRef ds:uri="http://schemas.microsoft.com/office/2006/metadata/properties"/>
    <ds:schemaRef ds:uri="http://schemas.microsoft.com/office/infopath/2007/PartnerControls"/>
    <ds:schemaRef ds:uri="http://schemas.microsoft.com/sharepoint/v3/fields"/>
    <ds:schemaRef ds:uri="http://schemas.microsoft.com/sharepoint/v3"/>
    <ds:schemaRef ds:uri="4ffa91fb-a0ff-4ac5-b2db-65c790d184a4"/>
    <ds:schemaRef ds:uri="93237db7-bebb-43bb-9414-bc3313990c09"/>
    <ds:schemaRef ds:uri="http://schemas.microsoft.com/sharepoint.v3"/>
  </ds:schemaRefs>
</ds:datastoreItem>
</file>

<file path=customXml/itemProps4.xml><?xml version="1.0" encoding="utf-8"?>
<ds:datastoreItem xmlns:ds="http://schemas.openxmlformats.org/officeDocument/2006/customXml" ds:itemID="{D47D7CD8-1E46-46BB-A82A-284BAE4E7E0E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http://schemas.microsoft.com/sharepoint/v3"/>
    <ds:schemaRef ds:uri="4ffa91fb-a0ff-4ac5-b2db-65c790d184a4"/>
    <ds:schemaRef ds:uri="http://schemas.microsoft.com/sharepoint.v3"/>
    <ds:schemaRef ds:uri="http://schemas.microsoft.com/sharepoint/v3/fields"/>
    <ds:schemaRef ds:uri="8686fd38-6384-41df-bf60-a073971185a6"/>
    <ds:schemaRef ds:uri="93237db7-bebb-43bb-9414-bc3313990c09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rat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Bernstein, Amanda</dc:creator>
  <cp:lastModifiedBy>Bernstein, Amanda</cp:lastModifiedBy>
  <dcterms:created xsi:type="dcterms:W3CDTF">2020-10-14T17:32:53Z</dcterms:created>
  <dcterms:modified xsi:type="dcterms:W3CDTF">2023-01-04T17:22:39Z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0x01010031E6F7E14DB9F64AA435011CFD87FE7C</vt:lpwstr>
  </property>
</Properties>
</file>