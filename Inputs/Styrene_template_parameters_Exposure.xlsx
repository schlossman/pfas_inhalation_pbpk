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429" documentId="8_{D031EE4F-1494-41E6-A9B6-B336235EFD1E}" xr6:coauthVersionLast="47" xr6:coauthVersionMax="47" xr10:uidLastSave="{1A1D380B-C8E9-4C48-8ADC-96B0D8F073A6}"/>
  <bookViews>
    <workbookView xWindow="-110" yWindow="-110" windowWidth="19420" windowHeight="10420" activeTab="1" xr2:uid="{089E7848-11EB-427A-89EA-83825F220BA0}"/>
  </bookViews>
  <sheets>
    <sheet name="inhalation_Fig2" sheetId="9" r:id="rId1"/>
    <sheet name="iv_Fig3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3" i="10" l="1"/>
  <c r="E16" i="10"/>
</calcChain>
</file>

<file path=xl/sharedStrings.xml><?xml version="1.0" encoding="utf-8"?>
<sst xmlns="http://schemas.openxmlformats.org/spreadsheetml/2006/main" count="257" uniqueCount="112">
  <si>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</si>
  <si>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</si>
  <si>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</si>
  <si>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</si>
  <si>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</si>
  <si>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</si>
  <si>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</si>
  <si>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</si>
  <si>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</si>
  <si>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</si>
  <si>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</si>
  <si>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</si>
  <si>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</si>
  <si>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</si>
  <si>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</si>
  <si>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</si>
  <si>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</si>
  <si>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</si>
  <si>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</si>
  <si>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</si>
  <si>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</si>
  <si>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</si>
  <si>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</si>
  <si>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</si>
  <si>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</si>
  <si>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</si>
  <si>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</si>
  <si>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</si>
  <si>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</si>
  <si>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</si>
  <si>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</si>
  <si>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</si>
  <si>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</si>
  <si>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</si>
  <si>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</si>
  <si>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</si>
  <si>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</si>
  <si>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</si>
  <si>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</si>
  <si>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</si>
  <si>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</si>
  <si>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</si>
  <si>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</si>
  <si>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</si>
  <si>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</si>
  <si>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</si>
  <si>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</si>
  <si>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</si>
  <si>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</si>
  <si>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</si>
  <si>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</si>
  <si>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</si>
  <si>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</si>
  <si>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</si>
  <si>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</si>
  <si>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</si>
  <si>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</si>
  <si>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</si>
  <si>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</si>
  <si>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</si>
  <si>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</si>
  <si>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</si>
  <si>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</si>
  <si>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</si>
  <si>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</si>
  <si>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</si>
  <si>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</si>
  <si>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</si>
  <si>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</si>
  <si>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</si>
  <si>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</si>
  <si>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</si>
  <si>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</si>
  <si>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</si>
  <si>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</si>
  <si>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</si>
  <si>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</si>
  <si>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</si>
  <si>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mg/h</t>
  </si>
  <si>
    <t>R</t>
  </si>
  <si>
    <t>Temp</t>
  </si>
  <si>
    <t>RTemp</t>
  </si>
  <si>
    <t>Ideal Gas Constant (R) times Temperature (in Kelvin)*</t>
  </si>
  <si>
    <t>Temperature</t>
  </si>
  <si>
    <t>Kelvin</t>
  </si>
  <si>
    <t>BW</t>
  </si>
  <si>
    <t>kg</t>
  </si>
  <si>
    <t>Body Mass</t>
  </si>
  <si>
    <t>BW_constant</t>
  </si>
  <si>
    <t>Body weight is constant?</t>
  </si>
  <si>
    <t>default is 25 deg C</t>
  </si>
  <si>
    <t>Ideal Gas Constant at 1 atm</t>
  </si>
  <si>
    <t>1000 L*ppm/Kelvin/mol</t>
  </si>
  <si>
    <t>1000 L*ppm/mol</t>
  </si>
  <si>
    <t>Used to compute R_0bgli if not provided directly.</t>
  </si>
  <si>
    <t>This should be R*Temp: This quantity divides the molecular weight to obtain a conversation factor that takes a concentration of chemical from units of ppm to units of mg/L.</t>
  </si>
  <si>
    <t>If not constant, provide table of values and corresponding times as input to PBPK_run()</t>
  </si>
  <si>
    <t>If unequal, provide vector of proportions as input to PBPK_run()</t>
  </si>
  <si>
    <t>t.first.dose_water</t>
  </si>
  <si>
    <t>t.final.dose_water</t>
  </si>
  <si>
    <t>Drinking Water: Periodic Exposure: Time of final dose each day</t>
  </si>
  <si>
    <t>h (24 hour clock)</t>
  </si>
  <si>
    <t>inh.stop.time</t>
  </si>
  <si>
    <t>Styrene</t>
  </si>
  <si>
    <t>rat</t>
  </si>
  <si>
    <t>male</t>
  </si>
  <si>
    <t>mg</t>
  </si>
  <si>
    <t>L</t>
  </si>
  <si>
    <t>h</t>
  </si>
  <si>
    <t>Y</t>
  </si>
  <si>
    <t>N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</si>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</sst>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645AD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workbookViewId="0">
      <selection activeCell="E29" sqref="E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103</v>
      </c>
      <c r="F2" t="s">
        <v>52</v>
      </c>
    </row>
    <row r="3" spans="1:6" x14ac:dyDescent="0.35">
      <c r="A3" s="1" t="s">
        <v>30</v>
      </c>
      <c r="B3" t="s">
        <v>31</v>
      </c>
      <c r="E3" t="s">
        <v>104</v>
      </c>
    </row>
    <row r="4" spans="1:6" x14ac:dyDescent="0.35">
      <c r="A4" s="1" t="s">
        <v>32</v>
      </c>
      <c r="B4" t="s">
        <v>33</v>
      </c>
      <c r="E4" t="s">
        <v>105</v>
      </c>
    </row>
    <row r="5" spans="1:6" x14ac:dyDescent="0.35">
      <c r="A5" s="1" t="s">
        <v>34</v>
      </c>
      <c r="B5" t="s">
        <v>35</v>
      </c>
      <c r="C5" t="s">
        <v>36</v>
      </c>
      <c r="E5" t="s">
        <v>106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107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108</v>
      </c>
    </row>
    <row r="8" spans="1:6" x14ac:dyDescent="0.35">
      <c r="A8" s="1" t="s">
        <v>88</v>
      </c>
      <c r="B8" t="s">
        <v>89</v>
      </c>
      <c r="C8" t="s">
        <v>70</v>
      </c>
      <c r="E8" t="s">
        <v>109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  <c r="E9" t="s">
        <v>110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  <c r="E11" t="s">
        <v>110</v>
      </c>
    </row>
    <row r="12" spans="1:6" x14ac:dyDescent="0.35">
      <c r="A12" s="1" t="s">
        <v>71</v>
      </c>
      <c r="B12" t="s">
        <v>72</v>
      </c>
      <c r="C12" t="s">
        <v>70</v>
      </c>
      <c r="E12" t="s">
        <v>110</v>
      </c>
    </row>
    <row r="13" spans="1:6" x14ac:dyDescent="0.35">
      <c r="A13" s="1" t="s">
        <v>73</v>
      </c>
      <c r="B13" t="s">
        <v>74</v>
      </c>
      <c r="C13" t="s">
        <v>70</v>
      </c>
      <c r="E13" t="s">
        <v>109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</v>
      </c>
      <c r="F16" s="2"/>
    </row>
    <row r="17" spans="1:6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6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6" x14ac:dyDescent="0.35">
      <c r="A20" s="1" t="s">
        <v>85</v>
      </c>
      <c r="B20" t="s">
        <v>87</v>
      </c>
      <c r="C20" t="s">
        <v>86</v>
      </c>
      <c r="D20">
        <v>0</v>
      </c>
      <c r="E20">
        <v>0.3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80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102</v>
      </c>
      <c r="B28" t="s">
        <v>62</v>
      </c>
      <c r="C28" t="s">
        <v>24</v>
      </c>
      <c r="E28">
        <v>6</v>
      </c>
    </row>
    <row r="29" spans="1:6" x14ac:dyDescent="0.35">
      <c r="A29" s="1" t="s">
        <v>63</v>
      </c>
      <c r="B29" t="s">
        <v>23</v>
      </c>
      <c r="C29" t="s">
        <v>24</v>
      </c>
    </row>
    <row r="30" spans="1:6" x14ac:dyDescent="0.35">
      <c r="A30" s="1" t="s">
        <v>64</v>
      </c>
      <c r="B30" t="s">
        <v>65</v>
      </c>
      <c r="C30" t="s">
        <v>24</v>
      </c>
    </row>
    <row r="31" spans="1:6" x14ac:dyDescent="0.35">
      <c r="A31" s="1" t="s">
        <v>66</v>
      </c>
      <c r="B31" t="s">
        <v>67</v>
      </c>
    </row>
    <row r="32" spans="1:6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CAB5-1022-4E8E-B402-4FA3024F981C}">
  <dimension ref="A1:G39"/>
  <sheetViews>
    <sheetView tabSelected="1" topLeftCell="A10" workbookViewId="0">
      <selection activeCell="F24" sqref="F24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103</v>
      </c>
      <c r="F2" t="s">
        <v>52</v>
      </c>
    </row>
    <row r="3" spans="1:6" x14ac:dyDescent="0.35">
      <c r="A3" s="1" t="s">
        <v>30</v>
      </c>
      <c r="B3" t="s">
        <v>31</v>
      </c>
      <c r="E3" t="s">
        <v>104</v>
      </c>
    </row>
    <row r="4" spans="1:6" x14ac:dyDescent="0.35">
      <c r="A4" s="1" t="s">
        <v>32</v>
      </c>
      <c r="B4" t="s">
        <v>33</v>
      </c>
      <c r="E4" t="s">
        <v>105</v>
      </c>
    </row>
    <row r="5" spans="1:6" x14ac:dyDescent="0.35">
      <c r="A5" s="1" t="s">
        <v>34</v>
      </c>
      <c r="B5" t="s">
        <v>35</v>
      </c>
      <c r="C5" t="s">
        <v>36</v>
      </c>
      <c r="E5" t="s">
        <v>106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107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108</v>
      </c>
    </row>
    <row r="8" spans="1:6" x14ac:dyDescent="0.35">
      <c r="A8" s="1" t="s">
        <v>88</v>
      </c>
      <c r="B8" t="s">
        <v>89</v>
      </c>
      <c r="C8" t="s">
        <v>70</v>
      </c>
      <c r="E8" t="s">
        <v>109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  <c r="E9" t="s">
        <v>110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  <c r="E11" t="s">
        <v>110</v>
      </c>
    </row>
    <row r="12" spans="1:6" x14ac:dyDescent="0.35">
      <c r="A12" s="1" t="s">
        <v>71</v>
      </c>
      <c r="B12" t="s">
        <v>72</v>
      </c>
      <c r="C12" t="s">
        <v>70</v>
      </c>
      <c r="E12" t="s">
        <v>109</v>
      </c>
    </row>
    <row r="13" spans="1:6" x14ac:dyDescent="0.35">
      <c r="A13" s="1" t="s">
        <v>73</v>
      </c>
      <c r="B13" t="s">
        <v>74</v>
      </c>
      <c r="C13" t="s">
        <v>70</v>
      </c>
      <c r="E13" t="s">
        <v>110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f>F16/24</f>
        <v>0.16666666666666666</v>
      </c>
      <c r="F16" s="3">
        <v>4</v>
      </c>
    </row>
    <row r="17" spans="1:7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7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7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7" x14ac:dyDescent="0.35">
      <c r="A20" s="1" t="s">
        <v>85</v>
      </c>
      <c r="B20" t="s">
        <v>87</v>
      </c>
      <c r="C20" t="s">
        <v>86</v>
      </c>
      <c r="D20">
        <v>0</v>
      </c>
      <c r="E20">
        <v>0.3</v>
      </c>
    </row>
    <row r="21" spans="1:7" x14ac:dyDescent="0.35">
      <c r="A21" s="1" t="s">
        <v>19</v>
      </c>
      <c r="B21" t="s">
        <v>20</v>
      </c>
      <c r="C21" t="s">
        <v>6</v>
      </c>
      <c r="D21">
        <v>0</v>
      </c>
    </row>
    <row r="22" spans="1:7" x14ac:dyDescent="0.35">
      <c r="A22" s="1" t="s">
        <v>21</v>
      </c>
      <c r="B22" t="s">
        <v>22</v>
      </c>
      <c r="C22" t="s">
        <v>6</v>
      </c>
      <c r="D22">
        <v>0</v>
      </c>
      <c r="E22">
        <v>9.4</v>
      </c>
    </row>
    <row r="23" spans="1:7" x14ac:dyDescent="0.35">
      <c r="A23" s="1" t="s">
        <v>53</v>
      </c>
      <c r="B23" t="s">
        <v>54</v>
      </c>
      <c r="C23" t="s">
        <v>24</v>
      </c>
      <c r="E23">
        <f>F23/60</f>
        <v>3.0000000000000002E-2</v>
      </c>
      <c r="F23">
        <v>1.8</v>
      </c>
      <c r="G23" t="s">
        <v>111</v>
      </c>
    </row>
    <row r="24" spans="1:7" x14ac:dyDescent="0.35">
      <c r="A24" s="1" t="s">
        <v>7</v>
      </c>
      <c r="B24" t="s">
        <v>8</v>
      </c>
      <c r="C24" t="s">
        <v>9</v>
      </c>
      <c r="D24">
        <v>0</v>
      </c>
    </row>
    <row r="25" spans="1:7" x14ac:dyDescent="0.35">
      <c r="A25" s="1" t="s">
        <v>10</v>
      </c>
      <c r="B25" t="s">
        <v>11</v>
      </c>
      <c r="D25">
        <v>0</v>
      </c>
    </row>
    <row r="26" spans="1:7" x14ac:dyDescent="0.35">
      <c r="A26" s="1" t="s">
        <v>12</v>
      </c>
      <c r="B26" t="s">
        <v>13</v>
      </c>
      <c r="C26" t="s">
        <v>14</v>
      </c>
      <c r="D26">
        <v>0</v>
      </c>
    </row>
    <row r="27" spans="1:7" x14ac:dyDescent="0.35">
      <c r="A27" s="1" t="s">
        <v>15</v>
      </c>
      <c r="B27" t="s">
        <v>16</v>
      </c>
      <c r="C27" t="s">
        <v>17</v>
      </c>
      <c r="D27">
        <v>0</v>
      </c>
    </row>
    <row r="28" spans="1:7" x14ac:dyDescent="0.35">
      <c r="A28" s="1" t="s">
        <v>102</v>
      </c>
      <c r="B28" t="s">
        <v>62</v>
      </c>
      <c r="C28" t="s">
        <v>24</v>
      </c>
    </row>
    <row r="29" spans="1:7" x14ac:dyDescent="0.35">
      <c r="A29" s="1" t="s">
        <v>63</v>
      </c>
      <c r="B29" t="s">
        <v>23</v>
      </c>
      <c r="C29" t="s">
        <v>24</v>
      </c>
    </row>
    <row r="30" spans="1:7" x14ac:dyDescent="0.35">
      <c r="A30" s="1" t="s">
        <v>64</v>
      </c>
      <c r="B30" t="s">
        <v>65</v>
      </c>
      <c r="C30" t="s">
        <v>24</v>
      </c>
    </row>
    <row r="31" spans="1:7" x14ac:dyDescent="0.35">
      <c r="A31" s="1" t="s">
        <v>66</v>
      </c>
      <c r="B31" t="s">
        <v>67</v>
      </c>
    </row>
    <row r="32" spans="1:7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93237db7-bebb-43bb-9414-bc3313990c09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Date xmlns="93237db7-bebb-43bb-9414-bc3313990c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6F7E14DB9F64AA435011CFD87FE7C" ma:contentTypeVersion="14" ma:contentTypeDescription="Create a new document." ma:contentTypeScope="" ma:versionID="c974ac748e8c5d1a2dbcb03dc7039540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8686fd38-6384-41df-bf60-a073971185a6" xmlns:ns7="93237db7-bebb-43bb-9414-bc3313990c09" targetNamespace="http://schemas.microsoft.com/office/2006/metadata/properties" ma:root="true" ma:fieldsID="e31f61be74db07117ec521e527c7dfb9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686fd38-6384-41df-bf60-a073971185a6"/>
    <xsd:import namespace="93237db7-bebb-43bb-9414-bc3313990c09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7:Records_x0020_Status" minOccurs="0"/>
                <xsd:element ref="ns7:Records_x0020_Date" minOccurs="0"/>
                <xsd:element ref="ns7:SharedWithUsers" minOccurs="0"/>
                <xsd:element ref="ns7:SharedWithDetails" minOccurs="0"/>
                <xsd:element ref="ns7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37802d4-57e0-410e-a276-34e3d7c16864}" ma:internalName="TaxCatchAllLabel" ma:readOnly="true" ma:showField="CatchAllDataLabel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37802d4-57e0-410e-a276-34e3d7c16864}" ma:internalName="TaxCatchAll" ma:showField="CatchAllData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6fd38-6384-41df-bf60-a07397118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37db7-bebb-43bb-9414-bc3313990c09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35" nillable="true" ma:displayName="Records Status" ma:default="Pending" ma:internalName="Records_x0020_Status">
      <xsd:simpleType>
        <xsd:restriction base="dms:Text"/>
      </xsd:simpleType>
    </xsd:element>
    <xsd:element name="Records_x0020_Date" ma:index="36" nillable="true" ma:displayName="Records Date" ma:hidden="true" ma:internalName="Records_x0020_Date">
      <xsd:simpleType>
        <xsd:restriction base="dms:DateTime"/>
      </xsd:simpleType>
    </xsd:element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D47D7CD8-1E46-46BB-A82A-284BAE4E7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686fd38-6384-41df-bf60-a073971185a6"/>
    <ds:schemaRef ds:uri="93237db7-bebb-43bb-9414-bc3313990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inhalation_Fig2</vt:lpstr>
      <vt:lpstr>iv_Fig3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2023-02-01T14:25:36Z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0x01010031E6F7E14DB9F64AA435011CFD87FE7C</vt:lpwstr>
  </property>
</Properties>
</file>