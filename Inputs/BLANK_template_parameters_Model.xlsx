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642" documentId="8_{D031EE4F-1494-41E6-A9B6-B336235EFD1E}" xr6:coauthVersionLast="47" xr6:coauthVersionMax="47" xr10:uidLastSave="{511F8595-0104-438A-8477-D81B35FAB75D}"/>
  <bookViews>
    <workbookView xWindow="-110" yWindow="-110" windowWidth="19420" windowHeight="10420" xr2:uid="{089E7848-11EB-427A-89EA-83825F220BA0}"/>
  </bookViews>
  <sheets>
    <sheet name="Parameter_Set_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9" l="1"/>
  <c r="E15" i="9"/>
</calcChain>
</file>

<file path=xl/sharedStrings.xml><?xml version="1.0" encoding="utf-8"?>
<sst xmlns="http://schemas.openxmlformats.org/spreadsheetml/2006/main" count="338" uniqueCount="251">
  <si>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</si>
  <si>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</si>
  <si>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</si>
  <si>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</si>
  <si>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</si>
  <si>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</si>
  <si>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</si>
  <si>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</si>
  <si>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</si>
  <si>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</si>
  <si>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</si>
  <si>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</si>
  <si>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</si>
  <si>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</si>
  <si>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</si>
  <si>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</si>
  <si>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</si>
  <si>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</si>
  <si>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</si>
  <si>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</si>
  <si>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</si>
  <si>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</si>
  <si>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</si>
  <si>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</si>
  <si>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</si>
  <si>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</si>
  <si>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</si>
  <si>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</si>
  <si>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</si>
  <si>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</si>
  <si>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</si>
  <si>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</si>
  <si>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</si>
  <si>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</si>
  <si>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</si>
  <si>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</si>
  <si>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</si>
  <si>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</si>
  <si>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</si>
  <si>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</si>
  <si>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</si>
  <si>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</si>
  <si>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</si>
  <si>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</si>
  <si>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</si>
  <si>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</si>
  <si>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</si>
  <si>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</si>
  <si>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</si>
  <si>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</si>
  <si>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</si>
  <si>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</si>
  <si>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</si>
  <si>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</si>
  <si>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</si>
  <si>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</si>
  <si>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</si>
  <si>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</si>
  <si>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</si>
  <si>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</si>
  <si>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</si>
  <si>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</si>
  <si>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</si>
  <si>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</si>
  <si>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</si>
  <si>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</si>
  <si>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</si>
  <si>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</si>
  <si>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</si>
  <si>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</si>
  <si>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</si>
  <si>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</si>
  <si>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</si>
  <si>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</si>
  <si>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</si>
  <si>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</si>
  <si>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</si>
  <si>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</si>
  <si>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</si>
  <si>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</si>
  <si>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</si>
  <si>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</si>
  <si>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</si>
  <si>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</si>
  <si>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</si>
  <si>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</si>
  <si>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</si>
  <si>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</si>
  <si>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</si>
  <si>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</si>
  <si>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</si>
  <si>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</si>
  <si>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</si>
  <si>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</si>
  <si>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</si>
  <si>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</si>
  <si>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</si>
  <si>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</si>
  <si>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</si>
  <si>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</si>
  <si>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</si>
  <si>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</si>
  <si>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</si>
  <si>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</si>
  <si>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</si>
  <si>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</si>
  <si>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</si>
  <si>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</si>
  <si>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</si>
  <si>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</si>
  <si>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</si>
  <si>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</si>
  <si>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</si>
  <si>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</si>
  <si>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</si>
  <si>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</si>
  <si>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</si>
  <si>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</si>
  <si>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</si>
  <si>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</si>
  <si>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</si>
  <si>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</si>
  <si>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</si>
  <si>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</si>
  <si>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</si>
  <si>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</si>
  <si>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</si>
  <si>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</si>
  <si>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</si>
  <si>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</si>
  <si>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</si>
  <si>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</si>
  <si>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</si>
  <si>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</si>
  <si>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</si>
  <si>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</si>
  <si>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</si>
  <si>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</si>
  <si>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</si>
  <si>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</si>
  <si>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</si>
  <si>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</si>
  <si>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</si>
  <si>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</si>
  <si>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</si>
  <si>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</si>
  <si>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</si>
  <si>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</si>
  <si>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</si>
  <si>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</si>
  <si>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</si>
  <si>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</si>
  <si>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</si>
  <si>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</si>
  <si>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</si>
  <si>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</si>
  <si>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</si>
  <si>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</si>
  <si>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</si>
  <si>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</si>
  <si>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</si>
  <si>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</si>
  <si>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</si>
  <si>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</si>
  <si>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</si>
  <si>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</si>
  <si>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</si>
  <si>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</si>
  <si>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</si>
  <si>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</si>
  <si>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</si>
  <si>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</si>
  <si>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</si>
  <si>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</si>
  <si>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</si>
  <si>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</si>
  <si>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</si>
  <si>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</si>
  <si>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</si>
  <si>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</si>
  <si>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</si>
  <si>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</si>
  <si>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</si>
  <si>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</si>
  <si>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</si>
  <si>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</si>
  <si>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</si>
  <si>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</si>
  <si>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</si>
  <si>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</si>
  <si>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</si>
  <si>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</si>
  <si>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</si>
  <si>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</si>
  <si>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</si>
  <si>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</si>
  <si>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</si>
  <si>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</si>
  <si>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</si>
  <si>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</si>
  <si>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</si>
  <si>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</si>
  <si>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</si>
  <si>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</si>
  <si>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</si>
  <si>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</si>
  <si>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</si>
  <si>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k_met_omc</t>
  </si>
  <si>
    <t>Metabolism: Other Metabolizing Tissues: 1st order rate constant</t>
  </si>
  <si>
    <t>Oral Absorption Rate from GI lumen to GI tissue</t>
  </si>
  <si>
    <t>Oral Absorption Rate from GI lumen to liver</t>
  </si>
  <si>
    <t>Oral Absorption Rate from GI tissue to liver</t>
  </si>
  <si>
    <t>Rate Constant to Feces from GI tissue</t>
  </si>
  <si>
    <t>GI tissue volume fraction</t>
  </si>
  <si>
    <t>GI tissue blood flow rate fraction</t>
  </si>
  <si>
    <t>GI tissue:blood partition coefficient</t>
  </si>
  <si>
    <t>total blood</t>
  </si>
  <si>
    <t>venous blood</t>
  </si>
  <si>
    <t>arterial blood</t>
  </si>
  <si>
    <t>lung</t>
  </si>
  <si>
    <t>gi tissue</t>
  </si>
  <si>
    <t>liver</t>
  </si>
  <si>
    <t>kidney</t>
  </si>
  <si>
    <t>kidney filtrate</t>
  </si>
  <si>
    <t>tissue 1</t>
  </si>
  <si>
    <t>tissue 2</t>
  </si>
  <si>
    <t>tissue 3</t>
  </si>
  <si>
    <t>tissue 4</t>
  </si>
  <si>
    <t>tissue 5</t>
  </si>
  <si>
    <t>other metabolizing tissue</t>
  </si>
  <si>
    <t>rest of body</t>
  </si>
  <si>
    <t>AS_cl_met</t>
  </si>
  <si>
    <t>Allometric Scaling Exponent: First Order Metabolic Parameters</t>
  </si>
  <si>
    <t>Allometric Scaling Exponent: Other First Order Clearance Parameters</t>
  </si>
  <si>
    <t>This should be (AS_met - 1), if representing V_max/K_m/V_tissue.</t>
  </si>
  <si>
    <t>Set point value for when using dynamic enzyme production rates</t>
  </si>
  <si>
    <t>k_loss</t>
  </si>
  <si>
    <t>Direct blood loss rate constant</t>
  </si>
  <si>
    <t>For two blood compartment models, loss comes from venous blood and only available when not using the steady state assumption.</t>
  </si>
  <si>
    <t>volume/time</t>
  </si>
  <si>
    <t>If using a single blood compartment, rate from total blood to urinary storage. If using two blood compartments, rate from venous blood and only if not using the steady state assumption.</t>
  </si>
  <si>
    <t>V_max_bind_li</t>
  </si>
  <si>
    <t>K_m_bind_li</t>
  </si>
  <si>
    <t>k_off_li</t>
  </si>
  <si>
    <t>Can also use GI tissue with no blood flow rate to represent a second GI compartment</t>
  </si>
  <si>
    <t>If setting GE_ss to "N", then exist_lung must be set to "Y", otherwise air cannot interact with the body. (If exist_lung is "Y", then GE_ss can be "Y" or "N".)</t>
  </si>
  <si>
    <t>If not constant, provide table of values and corresponding times as input to PBPK_run()</t>
  </si>
  <si>
    <t>Free Fraction of chemical in plasma (initial value)</t>
  </si>
  <si>
    <t>Model Parameters (not included in .model file)</t>
  </si>
  <si>
    <t>1/time/BW^AS_cl_met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</si>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</sst>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F105"/>
  <sheetViews>
    <sheetView tabSelected="1" zoomScaleNormal="100" workbookViewId="0">
      <selection activeCell="A10" sqref="A10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F2" t="s">
        <v>185</v>
      </c>
    </row>
    <row r="3" spans="1:6" x14ac:dyDescent="0.35">
      <c r="A3" s="1" t="s">
        <v>6</v>
      </c>
      <c r="B3" t="s">
        <v>7</v>
      </c>
    </row>
    <row r="4" spans="1:6" x14ac:dyDescent="0.35">
      <c r="A4" s="1" t="s">
        <v>8</v>
      </c>
      <c r="B4" t="s">
        <v>9</v>
      </c>
    </row>
    <row r="5" spans="1:6" x14ac:dyDescent="0.35">
      <c r="A5" s="1" t="s">
        <v>10</v>
      </c>
      <c r="B5" t="s">
        <v>11</v>
      </c>
      <c r="C5" t="s">
        <v>12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</row>
    <row r="8" spans="1:6" x14ac:dyDescent="0.35">
      <c r="A8" s="1" t="s">
        <v>20</v>
      </c>
      <c r="B8" t="s">
        <v>21</v>
      </c>
      <c r="C8" t="s">
        <v>19</v>
      </c>
      <c r="F8" t="s">
        <v>246</v>
      </c>
    </row>
    <row r="9" spans="1:6" x14ac:dyDescent="0.35">
      <c r="A9" s="1" t="s">
        <v>250</v>
      </c>
      <c r="B9" t="s">
        <v>23</v>
      </c>
      <c r="C9" t="s">
        <v>24</v>
      </c>
      <c r="D9" s="2">
        <v>2</v>
      </c>
      <c r="E9" s="2"/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F12" t="s">
        <v>245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1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231</v>
      </c>
      <c r="B22" t="s">
        <v>232</v>
      </c>
      <c r="D22">
        <v>-0.25</v>
      </c>
      <c r="F22" t="s">
        <v>234</v>
      </c>
    </row>
    <row r="23" spans="1:6" x14ac:dyDescent="0.35">
      <c r="A23" s="1" t="s">
        <v>31</v>
      </c>
      <c r="B23" t="s">
        <v>233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244</v>
      </c>
    </row>
    <row r="33" spans="1:6" x14ac:dyDescent="0.35">
      <c r="A33" s="1" t="s">
        <v>52</v>
      </c>
      <c r="B33" t="s">
        <v>210</v>
      </c>
      <c r="C33" t="s">
        <v>36</v>
      </c>
      <c r="D33">
        <v>0</v>
      </c>
    </row>
    <row r="34" spans="1:6" x14ac:dyDescent="0.35">
      <c r="A34" s="1" t="s">
        <v>53</v>
      </c>
      <c r="B34" t="s">
        <v>211</v>
      </c>
      <c r="C34" t="s">
        <v>36</v>
      </c>
      <c r="D34">
        <v>0</v>
      </c>
    </row>
    <row r="35" spans="1:6" x14ac:dyDescent="0.35">
      <c r="A35" s="1" t="s">
        <v>54</v>
      </c>
      <c r="B35" t="s">
        <v>55</v>
      </c>
      <c r="C35" t="s">
        <v>36</v>
      </c>
      <c r="D35">
        <v>0</v>
      </c>
    </row>
    <row r="36" spans="1:6" x14ac:dyDescent="0.35">
      <c r="A36" s="1" t="s">
        <v>168</v>
      </c>
      <c r="B36" t="s">
        <v>169</v>
      </c>
      <c r="C36" t="s">
        <v>194</v>
      </c>
      <c r="D36">
        <v>0</v>
      </c>
      <c r="F36" t="s">
        <v>240</v>
      </c>
    </row>
    <row r="37" spans="1:6" x14ac:dyDescent="0.35">
      <c r="A37" s="1" t="s">
        <v>56</v>
      </c>
      <c r="B37" t="s">
        <v>170</v>
      </c>
      <c r="C37" t="s">
        <v>194</v>
      </c>
      <c r="D37">
        <v>0</v>
      </c>
    </row>
    <row r="38" spans="1:6" x14ac:dyDescent="0.35">
      <c r="A38" s="1" t="s">
        <v>242</v>
      </c>
      <c r="B38" t="s">
        <v>57</v>
      </c>
      <c r="C38" t="s">
        <v>46</v>
      </c>
      <c r="D38">
        <v>1</v>
      </c>
    </row>
    <row r="39" spans="1:6" x14ac:dyDescent="0.35">
      <c r="A39" s="1" t="s">
        <v>241</v>
      </c>
      <c r="B39" t="s">
        <v>58</v>
      </c>
      <c r="C39" t="s">
        <v>59</v>
      </c>
      <c r="D39">
        <v>0</v>
      </c>
    </row>
    <row r="40" spans="1:6" x14ac:dyDescent="0.35">
      <c r="A40" s="1" t="s">
        <v>243</v>
      </c>
      <c r="B40" t="s">
        <v>60</v>
      </c>
      <c r="C40" t="s">
        <v>36</v>
      </c>
      <c r="D40">
        <v>0</v>
      </c>
    </row>
    <row r="41" spans="1:6" x14ac:dyDescent="0.35">
      <c r="A41" s="1" t="s">
        <v>145</v>
      </c>
      <c r="B41" t="s">
        <v>61</v>
      </c>
      <c r="C41" t="s">
        <v>193</v>
      </c>
      <c r="D41">
        <v>0</v>
      </c>
      <c r="F41" t="s">
        <v>235</v>
      </c>
    </row>
    <row r="42" spans="1:6" x14ac:dyDescent="0.35">
      <c r="A42" s="1" t="s">
        <v>146</v>
      </c>
      <c r="B42" t="s">
        <v>62</v>
      </c>
      <c r="C42" t="s">
        <v>46</v>
      </c>
      <c r="D42">
        <v>1</v>
      </c>
    </row>
    <row r="43" spans="1:6" x14ac:dyDescent="0.35">
      <c r="A43" s="1" t="s">
        <v>147</v>
      </c>
      <c r="B43" t="s">
        <v>63</v>
      </c>
      <c r="C43" t="s">
        <v>249</v>
      </c>
      <c r="D43">
        <v>0</v>
      </c>
    </row>
    <row r="44" spans="1:6" x14ac:dyDescent="0.35">
      <c r="A44" s="1" t="s">
        <v>148</v>
      </c>
      <c r="B44" t="s">
        <v>64</v>
      </c>
      <c r="C44" t="s">
        <v>193</v>
      </c>
      <c r="D44">
        <v>0</v>
      </c>
      <c r="F44" t="s">
        <v>235</v>
      </c>
    </row>
    <row r="45" spans="1:6" x14ac:dyDescent="0.35">
      <c r="A45" s="1" t="s">
        <v>149</v>
      </c>
      <c r="B45" t="s">
        <v>65</v>
      </c>
      <c r="C45" t="s">
        <v>46</v>
      </c>
      <c r="D45">
        <v>1</v>
      </c>
    </row>
    <row r="46" spans="1:6" x14ac:dyDescent="0.35">
      <c r="A46" s="1" t="s">
        <v>207</v>
      </c>
      <c r="B46" t="s">
        <v>208</v>
      </c>
      <c r="C46" t="s">
        <v>249</v>
      </c>
      <c r="D46">
        <v>0</v>
      </c>
    </row>
    <row r="47" spans="1:6" x14ac:dyDescent="0.35">
      <c r="A47" s="1" t="s">
        <v>150</v>
      </c>
      <c r="B47" t="s">
        <v>66</v>
      </c>
      <c r="C47" t="s">
        <v>193</v>
      </c>
      <c r="D47">
        <v>0</v>
      </c>
      <c r="F47" t="s">
        <v>235</v>
      </c>
    </row>
    <row r="48" spans="1:6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249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236</v>
      </c>
      <c r="B58" t="s">
        <v>237</v>
      </c>
      <c r="C58" t="s">
        <v>239</v>
      </c>
      <c r="D58">
        <v>0</v>
      </c>
      <c r="F58" t="s">
        <v>238</v>
      </c>
    </row>
    <row r="59" spans="1:6" x14ac:dyDescent="0.35">
      <c r="A59" s="1" t="s">
        <v>41</v>
      </c>
      <c r="B59" t="s">
        <v>247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222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223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F70" t="s">
        <v>224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F71" t="s">
        <v>225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F72" t="s">
        <v>226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F73" t="s">
        <v>227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228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F75" t="s">
        <v>229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230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222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F80" t="s">
        <v>224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F81" t="s">
        <v>225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F82" t="s">
        <v>226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F83" t="s">
        <v>227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228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F85" t="s">
        <v>229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230</v>
      </c>
    </row>
    <row r="87" spans="1:6" x14ac:dyDescent="0.35">
      <c r="A87" s="1" t="s">
        <v>121</v>
      </c>
      <c r="B87" t="s">
        <v>113</v>
      </c>
      <c r="D87">
        <v>1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222</v>
      </c>
    </row>
    <row r="91" spans="1:6" x14ac:dyDescent="0.35">
      <c r="A91" s="1" t="s">
        <v>125</v>
      </c>
      <c r="B91" t="s">
        <v>175</v>
      </c>
      <c r="D91">
        <v>1</v>
      </c>
      <c r="F91" t="s">
        <v>224</v>
      </c>
    </row>
    <row r="92" spans="1:6" x14ac:dyDescent="0.35">
      <c r="A92" s="1" t="s">
        <v>126</v>
      </c>
      <c r="B92" t="s">
        <v>161</v>
      </c>
      <c r="D92">
        <v>1</v>
      </c>
      <c r="F92" t="s">
        <v>225</v>
      </c>
    </row>
    <row r="93" spans="1:6" x14ac:dyDescent="0.35">
      <c r="A93" s="1" t="s">
        <v>127</v>
      </c>
      <c r="B93" t="s">
        <v>116</v>
      </c>
      <c r="D93">
        <v>1</v>
      </c>
      <c r="F93" t="s">
        <v>226</v>
      </c>
    </row>
    <row r="94" spans="1:6" x14ac:dyDescent="0.35">
      <c r="A94" s="1" t="s">
        <v>128</v>
      </c>
      <c r="B94" t="s">
        <v>117</v>
      </c>
      <c r="D94">
        <v>1</v>
      </c>
      <c r="F94" t="s">
        <v>227</v>
      </c>
    </row>
    <row r="95" spans="1:6" x14ac:dyDescent="0.35">
      <c r="A95" s="1" t="s">
        <v>129</v>
      </c>
      <c r="B95" t="s">
        <v>118</v>
      </c>
      <c r="D95">
        <v>1</v>
      </c>
      <c r="F95" t="s">
        <v>228</v>
      </c>
    </row>
    <row r="96" spans="1:6" x14ac:dyDescent="0.35">
      <c r="A96" s="1" t="s">
        <v>130</v>
      </c>
      <c r="B96" t="s">
        <v>133</v>
      </c>
      <c r="D96">
        <v>1</v>
      </c>
      <c r="F96" t="s">
        <v>229</v>
      </c>
    </row>
    <row r="97" spans="1:6" x14ac:dyDescent="0.35">
      <c r="A97" s="1" t="s">
        <v>159</v>
      </c>
      <c r="B97" t="s">
        <v>160</v>
      </c>
      <c r="D97">
        <v>1</v>
      </c>
      <c r="F97" t="s">
        <v>230</v>
      </c>
    </row>
    <row r="99" spans="1:6" x14ac:dyDescent="0.35">
      <c r="A99" s="1" t="s">
        <v>0</v>
      </c>
      <c r="B99" s="1" t="s">
        <v>248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0A172F1-773B-43BF-8B86-8CD1537A96AE}"/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Parameter_Set_1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